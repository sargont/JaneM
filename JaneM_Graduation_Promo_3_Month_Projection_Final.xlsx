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766f125a7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1c3a27e8651499e"/>
    <x:sheet xmlns:r="http://schemas.openxmlformats.org/officeDocument/2006/relationships" name="3-Month Projection" sheetId="2" r:id="Rd588942bc7cb4194"/>
    <x:sheet xmlns:r="http://schemas.openxmlformats.org/officeDocument/2006/relationships" name="Dashboard" sheetId="3" r:id="R286ed034d758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M #,##0;[Red](M #,##0);-"/>
    <x:numFmt numFmtId="202" formatCode="0"/>
    <x:numFmt numFmtId="203" formatCode="dd mmm yyyy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7"/>
      <x:color rgb="FFFFFFFF"/>
      <x:name val="Carlito"/>
    </x:font>
    <x:font>
      <x:sz val="14"/>
      <x:name val="Carlito"/>
    </x:font>
    <x:font>
      <x:sz val="12"/>
      <x:name val="Carlito"/>
    </x:font>
    <x:font>
      <x:b/>
      <x:sz val="11"/>
      <x:name val="Carlito"/>
    </x:font>
    <x:font>
      <x:b/>
      <x:sz val="11"/>
      <x:color rgb="FF0000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B58A3A"/>
      </x:patternFill>
    </x:fill>
    <x:fill>
      <x:patternFill patternType="solid">
        <x:fgColor rgb="FFFFF2CC"/>
      </x:patternFill>
    </x:fill>
    <x:fill>
      <x:patternFill patternType="solid">
        <x:fgColor rgb="FFF6F0E8"/>
      </x:patternFill>
    </x:fill>
    <x:fill>
      <x:patternFill patternType="solid">
        <x:fgColor rgb="FFFFF2CC"/>
      </x:patternFill>
    </x:fill>
    <x:fill>
      <x:patternFill patternType="solid">
        <x:fgColor rgb="FF151515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4" fillId="4" borderId="0" xfId="0" applyNumberFormat="1" applyFont="1" applyFill="1" applyBorder="1"/>
    <x:xf numFmtId="201" fontId="3" fillId="4" borderId="1" xfId="0" applyNumberFormat="1" applyFont="1" applyFill="1" applyBorder="1"/>
    <x:xf numFmtId="201" fontId="4" fillId="4" borderId="1" xfId="0" applyNumberFormat="1" applyFont="1" applyFill="1" applyBorder="1"/>
    <x:xf numFmtId="201" fontId="3" fillId="0" borderId="0" xfId="0" applyNumberFormat="1" applyFont="1" applyFill="1" applyBorder="1"/>
    <x:xf numFmtId="201" fontId="4" fillId="0" borderId="0" xfId="0" applyNumberFormat="1" applyFont="1" applyFill="1" applyBorder="1"/>
    <x:xf numFmtId="201" fontId="3" fillId="0" borderId="1" xfId="0" applyNumberFormat="1" applyFont="1" applyFill="1" applyBorder="1"/>
    <x:xf numFmtId="201" fontId="4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202" fontId="6" fillId="5" borderId="0" xfId="0" applyNumberFormat="1" applyFont="1" applyFill="1" applyBorder="1"/>
    <x:xf numFmtId="202" fontId="6" fillId="5" borderId="1" xfId="0" applyNumberFormat="1" applyFont="1" applyFill="1" applyBorder="1"/>
    <x:xf numFmtId="201" fontId="6" fillId="5" borderId="0" xfId="0" applyNumberFormat="1" applyFont="1" applyFill="1" applyBorder="1"/>
    <x:xf numFmtId="201" fontId="6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3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2" fillId="2" borderId="0" xfId="0" applyNumberFormat="1" applyFont="1" applyFill="1" applyBorder="1"/>
    <x:xf numFmtId="203" fontId="3" fillId="6" borderId="0" xfId="0" applyNumberFormat="1" applyFont="1" applyFill="1" applyBorder="1"/>
    <x:xf numFmtId="201" fontId="4" fillId="6" borderId="0" xfId="0" applyNumberFormat="1" applyFont="1" applyFill="1" applyBorder="1"/>
    <x:xf numFmtId="200" fontId="3" fillId="6" borderId="0" xfId="0" applyNumberFormat="1" applyFont="1" applyFill="1" applyBorder="1"/>
    <x:xf numFmtId="201" fontId="3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1" fontId="2" fillId="6" borderId="0" xfId="0" applyNumberFormat="1" applyFont="1" applyFill="1" applyBorder="1"/>
    <x:xf numFmtId="201" fontId="9" fillId="6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C00000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5a3a3c0fc403a" /><Relationship Type="http://schemas.openxmlformats.org/officeDocument/2006/relationships/theme" Target="/xl/theme/theme1.xml" Id="R625d2f82740b4d03" /><Relationship Type="http://schemas.openxmlformats.org/officeDocument/2006/relationships/sharedStrings" Target="/xl/sharedStrings.xml" Id="R13f547efcd6843e6" /><Relationship Type="http://schemas.openxmlformats.org/officeDocument/2006/relationships/worksheet" Target="/xl/worksheets/sheet1.xml" Id="R81c3a27e8651499e" /><Relationship Type="http://schemas.openxmlformats.org/officeDocument/2006/relationships/worksheet" Target="/xl/worksheets/sheet2.xml" Id="Rd588942bc7cb4194" /><Relationship Type="http://schemas.openxmlformats.org/officeDocument/2006/relationships/worksheet" Target="/xl/worksheets/sheet3.xml" Id="R286ed034d7584b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43f3ce3d9e4b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ea51727d4e04b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3-Month Revenue by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3-Month Inquiries</c:v>
          </c:tx>
          <c:cat>
            <c:strRef>
              <c:f>'3-Month Projection'!$A$16:$A$18</c:f>
              <c:strCache>
                <c:ptCount val="0"/>
              </c:strCache>
            </c:strRef>
          </c:cat>
          <c:val>
            <c:numRef>
              <c:f>'3-Month Projection'!$B$16:$B$18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3-Month Orders</c:v>
          </c:tx>
          <c:cat>
            <c:strRef>
              <c:f>'3-Month Projection'!$A$16:$A$18</c:f>
              <c:strCache>
                <c:ptCount val="0"/>
              </c:strCache>
            </c:strRef>
          </c:cat>
          <c:val>
            <c:numRef>
              <c:f>'3-Month Projection'!$C$16:$C$18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3-Month Revenue (M)</c:v>
          </c:tx>
          <c:cat>
            <c:strRef>
              <c:f>'3-Month Projection'!$A$16:$A$18</c:f>
              <c:strCache>
                <c:ptCount val="0"/>
              </c:strCache>
            </c:strRef>
          </c:cat>
          <c:val>
            <c:numRef>
              <c:f>'3-Month Projection'!$D$16:$D$18</c:f>
              <c:numCache>
                <c:formatCode>M #,##0;[Red](M #,##0);-</c:formatCode>
                <c:ptCount val="0"/>
              </c:numCache>
            </c:numRef>
          </c:val>
        </c:ser>
        <c:ser>
          <c:idx val="3"/>
          <c:order val="3"/>
          <c:tx>
            <c:v>3-Month Deposits (M)</c:v>
          </c:tx>
          <c:cat>
            <c:strRef>
              <c:f>'3-Month Projection'!$A$16:$A$18</c:f>
              <c:strCache>
                <c:ptCount val="0"/>
              </c:strCache>
            </c:strRef>
          </c:cat>
          <c:val>
            <c:numRef>
              <c:f>'3-Month Projection'!$E$16:$E$18</c:f>
              <c:numCache>
                <c:formatCode>M #,##0;[Red](M #,##0);-</c:formatCode>
                <c:ptCount val="0"/>
              </c:numCache>
            </c:numRef>
          </c:val>
        </c:ser>
        <c:ser>
          <c:idx val="4"/>
          <c:order val="4"/>
          <c:tx>
            <c:v>3-Month Surplus (M)</c:v>
          </c:tx>
          <c:cat>
            <c:strRef>
              <c:f>'3-Month Projection'!$A$16:$A$18</c:f>
              <c:strCache>
                <c:ptCount val="0"/>
              </c:strCache>
            </c:strRef>
          </c:cat>
          <c:val>
            <c:numRef>
              <c:f>'3-Month Projection'!$F$16:$F$18</c:f>
              <c:numCache>
                <c:formatCode>M #,##0;[Red](M 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Base-Case Monthly Revenue Ramp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Ad Objective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'Dashboard'!$B$12:$B$14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Inquiries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'Dashboard'!$C$12:$C$14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Conversion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'Dashboard'!$D$12:$D$14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Orders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'Dashboard'!$E$12:$E$14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Revenue (M)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'Dashboard'!$F$12:$F$14</c:f>
              <c:numCache>
                <c:formatCode>M #,##0;[Red](M 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11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43f3ce3d9e4b4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a51727d4e04b9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5ce4f04766d42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084296d42aa4eed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3" hidden="0" customWidth="1"/>
    <x:col min="4" max="4" width="30" hidden="0" customWidth="1"/>
    <x:col min="5" max="5" width="17" hidden="0" customWidth="1"/>
    <x:col min="6" max="6" width="17" hidden="0" customWidth="1"/>
  </x:cols>
  <x:sheetData>
    <x:row r="1" ht="30" customHeight="1">
      <x:c r="A1" s="5" t="str">
        <x:v>Jane.M Graduation Promo — 1 Aug to 31 Oct 2026</x:v>
      </x:c>
      <x:c r="B1" s="5"/>
      <x:c r="C1" s="5"/>
      <x:c r="D1" s="5"/>
      <x:c r="E1" s="5"/>
      <x:c r="F1" s="5"/>
    </x:row>
    <x:row r="3">
      <x:c r="A3" s="11" t="str">
        <x:v>Core Assumption</x:v>
      </x:c>
      <x:c r="B3" s="11" t="str">
        <x:v>Value</x:v>
      </x:c>
      <x:c r="D3" s="11" t="str">
        <x:v>Product / Service</x:v>
      </x:c>
      <x:c r="E3" s="11" t="str">
        <x:v>Standard Fee (M)</x:v>
      </x:c>
      <x:c r="F3" s="11" t="str">
        <x:v>Promo Fee (M)</x:v>
      </x:c>
    </x:row>
    <x:row r="4">
      <x:c r="A4" t="str">
        <x:v>Promo start date</x:v>
      </x:c>
      <x:c r="B4" s="68" t="n">
        <x:v>46235</x:v>
      </x:c>
      <x:c r="D4" t="str">
        <x:v>Corset top above hip</x:v>
      </x:c>
      <x:c r="E4" s="30" t="n">
        <x:v>1000</x:v>
      </x:c>
      <x:c r="F4" s="31" t="n">
        <x:f>E4*(1-$B$7)</x:f>
        <x:v>700</x:v>
      </x:c>
    </x:row>
    <x:row r="5">
      <x:c r="A5" t="str">
        <x:v>Promo end date</x:v>
      </x:c>
      <x:c r="B5" s="68" t="n">
        <x:v>46326</x:v>
      </x:c>
      <x:c r="D5" t="str">
        <x:v>Corset top cropped</x:v>
      </x:c>
      <x:c r="E5" s="30" t="n">
        <x:v>500</x:v>
      </x:c>
      <x:c r="F5" s="31" t="n">
        <x:f>E5*(1-$B$7)</x:f>
        <x:v>350</x:v>
      </x:c>
    </x:row>
    <x:row r="6">
      <x:c r="A6" t="str">
        <x:v>Promo duration</x:v>
      </x:c>
      <x:c r="B6" s="71" t="str">
        <x:v>3 months</x:v>
      </x:c>
      <x:c r="D6" t="str">
        <x:v>Leotard</x:v>
      </x:c>
      <x:c r="E6" s="30" t="n">
        <x:v>1300</x:v>
      </x:c>
      <x:c r="F6" s="31" t="n">
        <x:f>E6*(1-$B$7)</x:f>
        <x:v>909.9999999999999</x:v>
      </x:c>
    </x:row>
    <x:row r="7">
      <x:c r="A7" t="str">
        <x:v>Promo discount</x:v>
      </x:c>
      <x:c r="B7" s="70" t="n">
        <x:v>0.3</x:v>
      </x:c>
      <x:c r="D7" t="str">
        <x:v>Micro mini / mini</x:v>
      </x:c>
      <x:c r="E7" s="30" t="n">
        <x:v>1450</x:v>
      </x:c>
      <x:c r="F7" s="31" t="n">
        <x:f>E7*(1-$B$7)</x:f>
        <x:v>1014.9999999999999</x:v>
      </x:c>
    </x:row>
    <x:row r="8">
      <x:c r="A8" t="str">
        <x:v>Average standard design fee before promo (M)</x:v>
      </x:c>
      <x:c r="B8" s="71" t="n">
        <x:v>1712.5</x:v>
      </x:c>
      <x:c r="D8" t="str">
        <x:v>Above-knee / knee length</x:v>
      </x:c>
      <x:c r="E8" s="30" t="n">
        <x:v>1650</x:v>
      </x:c>
      <x:c r="F8" s="31" t="n">
        <x:f>E8*(1-$B$7)</x:f>
        <x:v>1155</x:v>
      </x:c>
    </x:row>
    <x:row r="9">
      <x:c r="A9" t="str">
        <x:v>Average promo design fee (M)</x:v>
      </x:c>
      <x:c r="B9" s="69" t="n">
        <x:f>B8*(1-B7)</x:f>
        <x:v>1198.75</x:v>
      </x:c>
      <x:c r="D9" t="str">
        <x:v>Midi / tea length</x:v>
      </x:c>
      <x:c r="E9" s="30" t="n">
        <x:v>2500</x:v>
      </x:c>
      <x:c r="F9" s="31" t="n">
        <x:f>E9*(1-$B$7)</x:f>
        <x:v>1750</x:v>
      </x:c>
    </x:row>
    <x:row r="10">
      <x:c r="A10" t="str">
        <x:v>Deposit required</x:v>
      </x:c>
      <x:c r="B10" s="70" t="n">
        <x:v>0.6</x:v>
      </x:c>
      <x:c r="D10" t="str">
        <x:v>Maxi / full</x:v>
      </x:c>
      <x:c r="E10" s="30" t="n">
        <x:v>3500</x:v>
      </x:c>
      <x:c r="F10" s="31" t="n">
        <x:f>E10*(1-$B$7)</x:f>
        <x:v>2450</x:v>
      </x:c>
    </x:row>
    <x:row r="11">
      <x:c r="A11" t="str">
        <x:v>Variable operating cost (% of revenue)</x:v>
      </x:c>
      <x:c r="B11" s="70" t="n">
        <x:v>0.15</x:v>
      </x:c>
      <x:c r="D11" t="str">
        <x:v>Tiered &amp; multilayered</x:v>
      </x:c>
      <x:c r="E11" s="30" t="n">
        <x:v>5000</x:v>
      </x:c>
      <x:c r="F11" s="31" t="n">
        <x:f>E11*(1-$B$7)</x:f>
        <x:v>3500</x:v>
      </x:c>
    </x:row>
    <x:row r="12">
      <x:c r="A12" t="str">
        <x:v>Monthly fixed operating cost (M)</x:v>
      </x:c>
      <x:c r="B12" s="71" t="n">
        <x:v>1500</x:v>
      </x:c>
    </x:row>
    <x:row r="13">
      <x:c r="A13" s="34" t="str">
        <x:v>Paid WhatsApp/Meta ad budget per month (M)</x:v>
      </x:c>
      <x:c r="B13" s="75" t="n">
        <x:v>1000</x:v>
      </x:c>
      <x:c r="C13" s="34" t="str"/>
      <x:c r="D13" s="34" t="str"/>
      <x:c r="E13" s="34" t="str"/>
      <x:c r="F13" s="34" t="str"/>
    </x:row>
    <x:row r="14">
      <x:c r="A14" s="36" t="str">
        <x:v>1</x:v>
      </x:c>
      <x:c r="B14" s="36" t="str">
        <x:v>All revenue figures are design/service fees after the 30% discount.</x:v>
      </x:c>
      <x:c r="C14" s="36" t="str"/>
      <x:c r="D14" s="36" t="str"/>
      <x:c r="E14" s="36" t="str"/>
      <x:c r="F14" s="36" t="str"/>
    </x:row>
    <x:row r="15">
      <x:c r="A15" s="77" t="str">
        <x:v>Notes</x:v>
      </x:c>
      <x:c r="B15" s="77" t="str"/>
      <x:c r="C15" s="77" t="str"/>
      <x:c r="D15" s="77" t="str"/>
      <x:c r="E15" s="77" t="str"/>
      <x:c r="F15" s="77" t="str"/>
    </x:row>
    <x:row r="16">
      <x:c r="A16" s="36" t="str">
        <x:v>1</x:v>
      </x:c>
      <x:c r="B16" s="36" t="str">
        <x:v>Promo runs from 1 August 2026 to 31 October 2026.</x:v>
      </x:c>
      <x:c r="C16" s="36" t="str"/>
      <x:c r="D16" s="36" t="str"/>
      <x:c r="E16" s="36" t="str"/>
      <x:c r="F16" s="36" t="str"/>
    </x:row>
    <x:row r="17">
      <x:c r="A17" s="36" t="str">
        <x:v>2</x:v>
      </x:c>
      <x:c r="B17" s="36" t="str">
        <x:v>All revenue figures are design/service fees after the 30% discount.</x:v>
      </x:c>
      <x:c r="C17" s="36" t="str"/>
      <x:c r="D17" s="36" t="str"/>
      <x:c r="E17" s="36" t="str"/>
      <x:c r="F17" s="36" t="str"/>
    </x:row>
    <x:row r="18">
      <x:c r="A18" s="36" t="str">
        <x:v>3</x:v>
      </x:c>
      <x:c r="B18" s="36" t="str">
        <x:v>Material cost is excluded and should be paid separately by the customer.</x:v>
      </x:c>
      <x:c r="C18" s="36" t="str"/>
      <x:c r="D18" s="36" t="str"/>
      <x:c r="E18" s="36" t="str"/>
      <x:c r="F18" s="36" t="str"/>
    </x:row>
  </x:sheetData>
  <x:mergeCells>
    <x:mergeCell ref="A1:F1"/>
    <x:mergeCell ref="A13:F13"/>
    <x:mergeCell ref="B14:F14"/>
    <x:mergeCell ref="B15:F15"/>
    <x:mergeCell ref="B16:F16"/>
    <x:mergeCell ref="A15:F15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4" t="str">
        <x:v>Jane.M Graduation Season Promo — August to October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39" t="str">
        <x:v>Scenario</x:v>
      </x:c>
      <x:c r="B3" s="39" t="str">
        <x:v>Month</x:v>
      </x:c>
      <x:c r="C3" s="39" t="str">
        <x:v>Inquiries</x:v>
      </x:c>
      <x:c r="D3" s="39" t="str">
        <x:v>Conversion</x:v>
      </x:c>
      <x:c r="E3" s="39" t="str">
        <x:v>Orders</x:v>
      </x:c>
      <x:c r="F3" s="39" t="str">
        <x:v>Avg Promo Fee (M)</x:v>
      </x:c>
      <x:c r="G3" s="39" t="str">
        <x:v>Revenue (M)</x:v>
      </x:c>
      <x:c r="H3" s="39" t="str">
        <x:v>Deposits Secured (M)</x:v>
      </x:c>
      <x:c r="I3" s="39" t="str">
        <x:v>Variable Cost (M)</x:v>
      </x:c>
      <x:c r="J3" s="39" t="str">
        <x:v>Fixed + Ads (M)</x:v>
      </x:c>
      <x:c r="K3" s="39" t="str">
        <x:v>Operating Surplus (M)</x:v>
      </x:c>
    </x:row>
    <x:row r="4">
      <x:c r="A4" s="42" t="str">
        <x:v>Conservative</x:v>
      </x:c>
      <x:c r="B4" s="42" t="str">
        <x:v>Aug 2026</x:v>
      </x:c>
      <x:c r="C4" s="15" t="n">
        <x:v>35</x:v>
      </x:c>
      <x:c r="D4" s="24" t="n">
        <x:v>0.18</x:v>
      </x:c>
      <x:c r="E4" s="43" t="n">
        <x:f>ROUND(C4*D4,0)</x:f>
        <x:v>6</x:v>
      </x:c>
      <x:c r="F4" s="45" t="n">
        <x:f>Assumptions!$B$9</x:f>
        <x:v>1198.75</x:v>
      </x:c>
      <x:c r="G4" s="45" t="n">
        <x:f>E4*F4</x:f>
        <x:v>7192.5</x:v>
      </x:c>
      <x:c r="H4" s="45" t="n">
        <x:f>G4*Assumptions!$B$10</x:f>
        <x:v>4315.5</x:v>
      </x:c>
      <x:c r="I4" s="45" t="n">
        <x:f>G4*Assumptions!$B$11</x:f>
        <x:v>1078.875</x:v>
      </x:c>
      <x:c r="J4" s="45" t="n">
        <x:f>Assumptions!$B$12+Assumptions!$B$13</x:f>
        <x:v>2500</x:v>
      </x:c>
      <x:c r="K4" s="45" t="n">
        <x:f>G4-I4-J4</x:f>
        <x:v>3613.625</x:v>
      </x:c>
    </x:row>
    <x:row r="5">
      <x:c r="A5" s="42" t="str">
        <x:v>Conservative</x:v>
      </x:c>
      <x:c r="B5" s="42" t="str">
        <x:v>Sep 2026</x:v>
      </x:c>
      <x:c r="C5" s="15" t="n">
        <x:v>45</x:v>
      </x:c>
      <x:c r="D5" s="24" t="n">
        <x:v>0.18</x:v>
      </x:c>
      <x:c r="E5" s="43" t="n">
        <x:f>ROUND(C5*D5,0)</x:f>
        <x:v>8</x:v>
      </x:c>
      <x:c r="F5" s="45" t="n">
        <x:f>Assumptions!$B$9</x:f>
        <x:v>1198.75</x:v>
      </x:c>
      <x:c r="G5" s="45" t="n">
        <x:f>E5*F5</x:f>
        <x:v>9590</x:v>
      </x:c>
      <x:c r="H5" s="45" t="n">
        <x:f>G5*Assumptions!$B$10</x:f>
        <x:v>5754</x:v>
      </x:c>
      <x:c r="I5" s="45" t="n">
        <x:f>G5*Assumptions!$B$11</x:f>
        <x:v>1438.5</x:v>
      </x:c>
      <x:c r="J5" s="45" t="n">
        <x:f>Assumptions!$B$12+Assumptions!$B$13</x:f>
        <x:v>2500</x:v>
      </x:c>
      <x:c r="K5" s="45" t="n">
        <x:f>G5-I5-J5</x:f>
        <x:v>5651.5</x:v>
      </x:c>
    </x:row>
    <x:row r="6">
      <x:c r="A6" s="42" t="str">
        <x:v>Conservative</x:v>
      </x:c>
      <x:c r="B6" s="42" t="str">
        <x:v>Oct 2026</x:v>
      </x:c>
      <x:c r="C6" s="15" t="n">
        <x:v>55</x:v>
      </x:c>
      <x:c r="D6" s="24" t="n">
        <x:v>0.18</x:v>
      </x:c>
      <x:c r="E6" s="43" t="n">
        <x:f>ROUND(C6*D6,0)</x:f>
        <x:v>10</x:v>
      </x:c>
      <x:c r="F6" s="45" t="n">
        <x:f>Assumptions!$B$9</x:f>
        <x:v>1198.75</x:v>
      </x:c>
      <x:c r="G6" s="45" t="n">
        <x:f>E6*F6</x:f>
        <x:v>11987.5</x:v>
      </x:c>
      <x:c r="H6" s="45" t="n">
        <x:f>G6*Assumptions!$B$10</x:f>
        <x:v>7192.5</x:v>
      </x:c>
      <x:c r="I6" s="45" t="n">
        <x:f>G6*Assumptions!$B$11</x:f>
        <x:v>1798.125</x:v>
      </x:c>
      <x:c r="J6" s="45" t="n">
        <x:f>Assumptions!$B$12+Assumptions!$B$13</x:f>
        <x:v>2500</x:v>
      </x:c>
      <x:c r="K6" s="45" t="n">
        <x:f>G6-I6-J6</x:f>
        <x:v>7689.375</x:v>
      </x:c>
    </x:row>
    <x:row r="7">
      <x:c r="A7" s="42" t="str">
        <x:v>Base</x:v>
      </x:c>
      <x:c r="B7" s="42" t="str">
        <x:v>Aug 2026</x:v>
      </x:c>
      <x:c r="C7" s="15" t="n">
        <x:v>50</x:v>
      </x:c>
      <x:c r="D7" s="24" t="n">
        <x:v>0.22</x:v>
      </x:c>
      <x:c r="E7" s="43" t="n">
        <x:f>ROUND(C7*D7,0)</x:f>
        <x:v>11</x:v>
      </x:c>
      <x:c r="F7" s="45" t="n">
        <x:f>Assumptions!$B$9</x:f>
        <x:v>1198.75</x:v>
      </x:c>
      <x:c r="G7" s="45" t="n">
        <x:f>E7*F7</x:f>
        <x:v>13186.25</x:v>
      </x:c>
      <x:c r="H7" s="45" t="n">
        <x:f>G7*Assumptions!$B$10</x:f>
        <x:v>7911.75</x:v>
      </x:c>
      <x:c r="I7" s="45" t="n">
        <x:f>G7*Assumptions!$B$11</x:f>
        <x:v>1977.9375</x:v>
      </x:c>
      <x:c r="J7" s="45" t="n">
        <x:f>Assumptions!$B$12+Assumptions!$B$13</x:f>
        <x:v>2500</x:v>
      </x:c>
      <x:c r="K7" s="45" t="n">
        <x:f>G7-I7-J7</x:f>
        <x:v>8708.3125</x:v>
      </x:c>
    </x:row>
    <x:row r="8">
      <x:c r="A8" s="42" t="str">
        <x:v>Base</x:v>
      </x:c>
      <x:c r="B8" s="42" t="str">
        <x:v>Sep 2026</x:v>
      </x:c>
      <x:c r="C8" s="15" t="n">
        <x:v>70</x:v>
      </x:c>
      <x:c r="D8" s="24" t="n">
        <x:v>0.22</x:v>
      </x:c>
      <x:c r="E8" s="43" t="n">
        <x:f>ROUND(C8*D8,0)</x:f>
        <x:v>15</x:v>
      </x:c>
      <x:c r="F8" s="45" t="n">
        <x:f>Assumptions!$B$9</x:f>
        <x:v>1198.75</x:v>
      </x:c>
      <x:c r="G8" s="45" t="n">
        <x:f>E8*F8</x:f>
        <x:v>17981.25</x:v>
      </x:c>
      <x:c r="H8" s="45" t="n">
        <x:f>G8*Assumptions!$B$10</x:f>
        <x:v>10788.75</x:v>
      </x:c>
      <x:c r="I8" s="45" t="n">
        <x:f>G8*Assumptions!$B$11</x:f>
        <x:v>2697.1875</x:v>
      </x:c>
      <x:c r="J8" s="45" t="n">
        <x:f>Assumptions!$B$12+Assumptions!$B$13</x:f>
        <x:v>2500</x:v>
      </x:c>
      <x:c r="K8" s="45" t="n">
        <x:f>G8-I8-J8</x:f>
        <x:v>12784.0625</x:v>
      </x:c>
    </x:row>
    <x:row r="9">
      <x:c r="A9" s="42" t="str">
        <x:v>Base</x:v>
      </x:c>
      <x:c r="B9" s="42" t="str">
        <x:v>Oct 2026</x:v>
      </x:c>
      <x:c r="C9" s="15" t="n">
        <x:v>90</x:v>
      </x:c>
      <x:c r="D9" s="24" t="n">
        <x:v>0.22</x:v>
      </x:c>
      <x:c r="E9" s="43" t="n">
        <x:f>ROUND(C9*D9,0)</x:f>
        <x:v>20</x:v>
      </x:c>
      <x:c r="F9" s="45" t="n">
        <x:f>Assumptions!$B$9</x:f>
        <x:v>1198.75</x:v>
      </x:c>
      <x:c r="G9" s="45" t="n">
        <x:f>E9*F9</x:f>
        <x:v>23975</x:v>
      </x:c>
      <x:c r="H9" s="45" t="n">
        <x:f>G9*Assumptions!$B$10</x:f>
        <x:v>14385</x:v>
      </x:c>
      <x:c r="I9" s="45" t="n">
        <x:f>G9*Assumptions!$B$11</x:f>
        <x:v>3596.25</x:v>
      </x:c>
      <x:c r="J9" s="45" t="n">
        <x:f>Assumptions!$B$12+Assumptions!$B$13</x:f>
        <x:v>2500</x:v>
      </x:c>
      <x:c r="K9" s="45" t="n">
        <x:f>G9-I9-J9</x:f>
        <x:v>17878.75</x:v>
      </x:c>
    </x:row>
    <x:row r="10">
      <x:c r="A10" s="42" t="str">
        <x:v>Stretch</x:v>
      </x:c>
      <x:c r="B10" s="42" t="str">
        <x:v>Aug 2026</x:v>
      </x:c>
      <x:c r="C10" s="15" t="n">
        <x:v>75</x:v>
      </x:c>
      <x:c r="D10" s="24" t="n">
        <x:v>0.25</x:v>
      </x:c>
      <x:c r="E10" s="43" t="n">
        <x:f>ROUND(C10*D10,0)</x:f>
        <x:v>19</x:v>
      </x:c>
      <x:c r="F10" s="45" t="n">
        <x:f>Assumptions!$B$9</x:f>
        <x:v>1198.75</x:v>
      </x:c>
      <x:c r="G10" s="45" t="n">
        <x:f>E10*F10</x:f>
        <x:v>22776.25</x:v>
      </x:c>
      <x:c r="H10" s="45" t="n">
        <x:f>G10*Assumptions!$B$10</x:f>
        <x:v>13665.75</x:v>
      </x:c>
      <x:c r="I10" s="45" t="n">
        <x:f>G10*Assumptions!$B$11</x:f>
        <x:v>3416.4375</x:v>
      </x:c>
      <x:c r="J10" s="45" t="n">
        <x:f>Assumptions!$B$12+Assumptions!$B$13</x:f>
        <x:v>2500</x:v>
      </x:c>
      <x:c r="K10" s="45" t="n">
        <x:f>G10-I10-J10</x:f>
        <x:v>16859.8125</x:v>
      </x:c>
    </x:row>
    <x:row r="11">
      <x:c r="A11" s="42" t="str">
        <x:v>Stretch</x:v>
      </x:c>
      <x:c r="B11" s="42" t="str">
        <x:v>Sep 2026</x:v>
      </x:c>
      <x:c r="C11" s="15" t="n">
        <x:v>105</x:v>
      </x:c>
      <x:c r="D11" s="24" t="n">
        <x:v>0.25</x:v>
      </x:c>
      <x:c r="E11" s="43" t="n">
        <x:f>ROUND(C11*D11,0)</x:f>
        <x:v>26</x:v>
      </x:c>
      <x:c r="F11" s="45" t="n">
        <x:f>Assumptions!$B$9</x:f>
        <x:v>1198.75</x:v>
      </x:c>
      <x:c r="G11" s="45" t="n">
        <x:f>E11*F11</x:f>
        <x:v>31167.5</x:v>
      </x:c>
      <x:c r="H11" s="45" t="n">
        <x:f>G11*Assumptions!$B$10</x:f>
        <x:v>18700.5</x:v>
      </x:c>
      <x:c r="I11" s="45" t="n">
        <x:f>G11*Assumptions!$B$11</x:f>
        <x:v>4675.125</x:v>
      </x:c>
      <x:c r="J11" s="45" t="n">
        <x:f>Assumptions!$B$12+Assumptions!$B$13</x:f>
        <x:v>2500</x:v>
      </x:c>
      <x:c r="K11" s="45" t="n">
        <x:f>G11-I11-J11</x:f>
        <x:v>23992.375</x:v>
      </x:c>
    </x:row>
    <x:row r="12">
      <x:c r="A12" s="42" t="str">
        <x:v>Stretch</x:v>
      </x:c>
      <x:c r="B12" s="42" t="str">
        <x:v>Oct 2026</x:v>
      </x:c>
      <x:c r="C12" s="15" t="n">
        <x:v>135</x:v>
      </x:c>
      <x:c r="D12" s="24" t="n">
        <x:v>0.25</x:v>
      </x:c>
      <x:c r="E12" s="43" t="n">
        <x:f>ROUND(C12*D12,0)</x:f>
        <x:v>34</x:v>
      </x:c>
      <x:c r="F12" s="45" t="n">
        <x:f>Assumptions!$B$9</x:f>
        <x:v>1198.75</x:v>
      </x:c>
      <x:c r="G12" s="45" t="n">
        <x:f>E12*F12</x:f>
        <x:v>40757.5</x:v>
      </x:c>
      <x:c r="H12" s="45" t="n">
        <x:f>G12*Assumptions!$B$10</x:f>
        <x:v>24454.5</x:v>
      </x:c>
      <x:c r="I12" s="45" t="n">
        <x:f>G12*Assumptions!$B$11</x:f>
        <x:v>6113.625</x:v>
      </x:c>
      <x:c r="J12" s="45" t="n">
        <x:f>Assumptions!$B$12+Assumptions!$B$13</x:f>
        <x:v>2500</x:v>
      </x:c>
      <x:c r="K12" s="45" t="n">
        <x:f>G12-I12-J12</x:f>
        <x:v>32143.875</x:v>
      </x:c>
    </x:row>
    <x:row r="15">
      <x:c r="A15" s="34" t="str">
        <x:v>Scenario</x:v>
      </x:c>
      <x:c r="B15" s="34" t="str">
        <x:v>3-Month Inquiries</x:v>
      </x:c>
      <x:c r="C15" s="34" t="str">
        <x:v>3-Month Orders</x:v>
      </x:c>
      <x:c r="D15" s="34" t="str">
        <x:v>3-Month Revenue (M)</x:v>
      </x:c>
      <x:c r="E15" s="34" t="str">
        <x:v>3-Month Deposits (M)</x:v>
      </x:c>
      <x:c r="F15" s="34" t="str">
        <x:v>3-Month Surplus (M)</x:v>
      </x:c>
      <x:c r="H15" s="34" t="str">
        <x:v>Break-even Snapshot</x:v>
      </x:c>
      <x:c r="I15" s="34"/>
      <x:c r="J15" s="34"/>
      <x:c r="K15" s="34"/>
    </x:row>
    <x:row r="16">
      <x:c r="A16" s="42" t="str">
        <x:v>Conservative</x:v>
      </x:c>
      <x:c r="B16" s="43" t="n">
        <x:f>SUM(C4:C6)</x:f>
        <x:v>135</x:v>
      </x:c>
      <x:c r="C16" s="43" t="n">
        <x:f>SUM(E4:E6)</x:f>
        <x:v>24</x:v>
      </x:c>
      <x:c r="D16" s="45" t="n">
        <x:f>SUM(G4:G6)</x:f>
        <x:v>28770</x:v>
      </x:c>
      <x:c r="E16" s="45" t="n">
        <x:f>SUM(H4:H6)</x:f>
        <x:v>17262</x:v>
      </x:c>
      <x:c r="F16" s="45" t="n">
        <x:f>SUM(K4:K6)</x:f>
        <x:v>16954.5</x:v>
      </x:c>
      <x:c r="H16" s="42" t="str">
        <x:v>Metric</x:v>
      </x:c>
      <x:c r="I16" s="42" t="str">
        <x:v>Value</x:v>
      </x:c>
    </x:row>
    <x:row r="17">
      <x:c r="A17" s="42" t="str">
        <x:v>Base</x:v>
      </x:c>
      <x:c r="B17" s="43" t="n">
        <x:f>SUM(C7:C9)</x:f>
        <x:v>210</x:v>
      </x:c>
      <x:c r="C17" s="43" t="n">
        <x:f>SUM(E7:E9)</x:f>
        <x:v>46</x:v>
      </x:c>
      <x:c r="D17" s="45" t="n">
        <x:f>SUM(G7:G9)</x:f>
        <x:v>55142.5</x:v>
      </x:c>
      <x:c r="E17" s="45" t="n">
        <x:f>SUM(H7:H9)</x:f>
        <x:v>33085.5</x:v>
      </x:c>
      <x:c r="F17" s="45" t="n">
        <x:f>SUM(K7:K9)</x:f>
        <x:v>39371.125</x:v>
      </x:c>
      <x:c r="H17" s="42" t="str">
        <x:v>Contribution per order (M)</x:v>
      </x:c>
      <x:c r="I17" s="45" t="n">
        <x:f>Assumptions!B9*(1-Assumptions!B11)</x:f>
        <x:v>1018.9375</x:v>
      </x:c>
    </x:row>
    <x:row r="18">
      <x:c r="A18" s="42" t="str">
        <x:v>Stretch</x:v>
      </x:c>
      <x:c r="B18" s="43" t="n">
        <x:f>SUM(C10:C12)</x:f>
        <x:v>315</x:v>
      </x:c>
      <x:c r="C18" s="43" t="n">
        <x:f>SUM(E10:E12)</x:f>
        <x:v>79</x:v>
      </x:c>
      <x:c r="D18" s="45" t="n">
        <x:f>SUM(G10:G12)</x:f>
        <x:v>94701.25</x:v>
      </x:c>
      <x:c r="E18" s="45" t="n">
        <x:f>SUM(H10:H12)</x:f>
        <x:v>56820.75</x:v>
      </x:c>
      <x:c r="F18" s="45" t="n">
        <x:f>SUM(K10:K12)</x:f>
        <x:v>72996.0625</x:v>
      </x:c>
      <x:c r="H18" s="42" t="str">
        <x:v>Monthly fixed + ads (M)</x:v>
      </x:c>
      <x:c r="I18" s="45" t="n">
        <x:f>Assumptions!B12+Assumptions!B13</x:f>
        <x:v>2500</x:v>
      </x:c>
    </x:row>
    <x:row r="19">
      <x:c r="H19" s="42" t="str">
        <x:v>Break-even orders / month</x:v>
      </x:c>
      <x:c r="I19" s="43" t="n">
        <x:f>ROUNDUP(I18/I17,0)</x:f>
        <x:v>3</x:v>
      </x:c>
    </x:row>
  </x:sheetData>
  <x:mergeCells>
    <x:mergeCell ref="A1:K1"/>
    <x:mergeCell ref="H15:K15"/>
  </x:mergeCells>
  <x:conditionalFormatting sqref="K4:K12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e5ce4f04766d42ba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27" hidden="0" customWidth="1"/>
  </x:cols>
  <x:sheetData>
    <x:row r="1" ht="32" customHeight="1">
      <x:c r="A1" s="47" t="str">
        <x:v>Jane.M Graduation Promo — 90-Day Dashboard (Aug–Oct 2026)</x:v>
      </x:c>
      <x:c r="B1" s="47"/>
      <x:c r="C1" s="47"/>
      <x:c r="D1" s="47"/>
      <x:c r="E1" s="47"/>
      <x:c r="F1" s="47"/>
      <x:c r="G1" s="47"/>
      <x:c r="H1" s="47"/>
    </x:row>
    <x:row r="3">
      <x:c r="A3" s="11" t="str">
        <x:v>Base Case KPI</x:v>
      </x:c>
      <x:c r="B3" s="11" t="str">
        <x:v>3-Month Projection</x:v>
      </x:c>
      <x:c r="D3" s="34" t="str">
        <x:v>Management Interpretation</x:v>
      </x:c>
      <x:c r="E3" s="34"/>
      <x:c r="F3" s="34"/>
      <x:c r="G3" s="34"/>
      <x:c r="H3" s="34"/>
    </x:row>
    <x:row r="4">
      <x:c r="A4" s="50" t="str">
        <x:v>Qualified inquiries</x:v>
      </x:c>
      <x:c r="B4" s="53" t="n">
        <x:f>'3-Month Projection'!B17</x:f>
        <x:v>210</x:v>
      </x:c>
      <x:c r="D4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E4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F4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G4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H4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</x:row>
    <x:row r="5">
      <x:c r="A5" s="50" t="str">
        <x:v>Confirmed orders</x:v>
      </x:c>
      <x:c r="B5" s="53" t="n">
        <x:f>'3-Month Projection'!C17</x:f>
        <x:v>46</x:v>
      </x:c>
      <x:c r="D5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E5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F5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G5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H5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</x:row>
    <x:row r="6">
      <x:c r="A6" s="50" t="str">
        <x:v>Design-fee revenue</x:v>
      </x:c>
      <x:c r="B6" s="55" t="n">
        <x:f>'3-Month Projection'!D17</x:f>
        <x:v>55142.5</x:v>
      </x:c>
      <x:c r="D6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E6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F6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G6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H6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</x:row>
    <x:row r="7">
      <x:c r="A7" s="50" t="str">
        <x:v>Operating surplus</x:v>
      </x:c>
      <x:c r="B7" s="55" t="n">
        <x:f>'3-Month Projection'!F17</x:f>
        <x:v>39371.125</x:v>
      </x:c>
      <x:c r="D7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E7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F7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G7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H7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</x:row>
    <x:row r="8">
      <x:c r="D8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E8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F8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G8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  <x:c r="H8" s="59" t="str">
        <x:v>The campaign runs from 1 August 2026 to 31 October 2026. The base case assumes WhatsApp enquiries grow from 50 in August to 90 in October and convert 22% into paid bookings. Material is excluded from the promotional design fee and should be collected separately from each customer.</x:v>
      </x:c>
    </x:row>
    <x:row r="10">
      <x:c r="A10" s="34" t="str">
        <x:v>90-Day Execution Targets</x:v>
      </x:c>
      <x:c r="B10" s="34"/>
      <x:c r="C10" s="34"/>
      <x:c r="D10" s="34"/>
      <x:c r="E10" s="34"/>
      <x:c r="F10" s="34"/>
      <x:c r="G10" s="34"/>
      <x:c r="H10" s="34"/>
    </x:row>
    <x:row r="11">
      <x:c r="A11" s="38" t="str">
        <x:v>Month</x:v>
      </x:c>
      <x:c r="B11" s="38" t="str">
        <x:v>Ad Objective</x:v>
      </x:c>
      <x:c r="C11" s="38" t="str">
        <x:v>Inquiries</x:v>
      </x:c>
      <x:c r="D11" s="38" t="str">
        <x:v>Conversion</x:v>
      </x:c>
      <x:c r="E11" s="38" t="str">
        <x:v>Orders</x:v>
      </x:c>
      <x:c r="F11" s="38" t="str">
        <x:v>Revenue (M)</x:v>
      </x:c>
      <x:c r="G11" s="38" t="str">
        <x:v>Primary Action</x:v>
      </x:c>
      <x:c r="H11" s="38" t="str">
        <x:v>Control</x:v>
      </x:c>
    </x:row>
    <x:row r="12">
      <x:c r="A12" s="42" t="str">
        <x:v>Aug 2026</x:v>
      </x:c>
      <x:c r="B12" s="42" t="str">
        <x:v>Launch + proof</x:v>
      </x:c>
      <x:c r="C12" s="15" t="n">
        <x:v>50</x:v>
      </x:c>
      <x:c r="D12" s="24" t="n">
        <x:v>0.22</x:v>
      </x:c>
      <x:c r="E12" s="42" t="n">
        <x:f>ROUND(C12*D12,0)</x:f>
        <x:v>11</x:v>
      </x:c>
      <x:c r="F12" s="45" t="n">
        <x:f>E12*Assumptions!B9</x:f>
        <x:v>13186.25</x:v>
      </x:c>
      <x:c r="G12" s="42" t="str">
        <x:v>Run 2 creatives; reply within 10 minutes</x:v>
      </x:c>
      <x:c r="H12" s="42" t="str">
        <x:v>Track source of every lead</x:v>
      </x:c>
    </x:row>
    <x:row r="13">
      <x:c r="A13" s="42" t="str">
        <x:v>Sep 2026</x:v>
      </x:c>
      <x:c r="B13" s="42" t="str">
        <x:v>Retarget + referrals</x:v>
      </x:c>
      <x:c r="C13" s="15" t="n">
        <x:v>70</x:v>
      </x:c>
      <x:c r="D13" s="24" t="n">
        <x:v>0.22</x:v>
      </x:c>
      <x:c r="E13" s="42" t="n">
        <x:f>ROUND(C13*D13,0)</x:f>
        <x:v>15</x:v>
      </x:c>
      <x:c r="F13" s="45" t="n">
        <x:f>E13*Assumptions!B10</x:f>
        <x:v>9</x:v>
      </x:c>
      <x:c r="G13" s="42" t="str">
        <x:v>Retarget engagers; activate referrals</x:v>
      </x:c>
      <x:c r="H13" s="42" t="str">
        <x:v>Protect production capacity</x:v>
      </x:c>
    </x:row>
    <x:row r="14">
      <x:c r="A14" s="42" t="str">
        <x:v>Oct 2026</x:v>
      </x:c>
      <x:c r="B14" s="42" t="str">
        <x:v>Urgency + final slots</x:v>
      </x:c>
      <x:c r="C14" s="15" t="n">
        <x:v>90</x:v>
      </x:c>
      <x:c r="D14" s="24" t="n">
        <x:v>0.22</x:v>
      </x:c>
      <x:c r="E14" s="42" t="n">
        <x:f>ROUND(C14*D14,0)</x:f>
        <x:v>20</x:v>
      </x:c>
      <x:c r="F14" s="45" t="n">
        <x:f>E14*Assumptions!B11</x:f>
        <x:v>3</x:v>
      </x:c>
      <x:c r="G14" s="42" t="str">
        <x:v>Deadline campaign; final-slot messaging</x:v>
      </x:c>
      <x:c r="H14" s="42" t="str">
        <x:v>Stop ads when slots are full</x:v>
      </x:c>
    </x:row>
    <x:row r="15">
      <x:c r="A15" s="63" t="str">
        <x:v>Total</x:v>
      </x:c>
      <x:c r="B15" s="63" t="str"/>
      <x:c r="C15" s="63" t="n">
        <x:f>SUM(C12:C14)</x:f>
        <x:v>210</x:v>
      </x:c>
      <x:c r="D15" s="63" t="str"/>
      <x:c r="E15" s="63" t="n">
        <x:f>SUM(E12:E14)</x:f>
        <x:v>46</x:v>
      </x:c>
      <x:c r="F15" s="64" t="n">
        <x:f>SUM(F12:F14)</x:f>
        <x:v>13198.25</x:v>
      </x:c>
      <x:c r="G15" s="63" t="str"/>
      <x:c r="H15" s="63" t="str"/>
    </x:row>
  </x:sheetData>
  <x:mergeCells>
    <x:mergeCell ref="A1:H1"/>
    <x:mergeCell ref="D3:H3"/>
    <x:mergeCell ref="D4:H8"/>
    <x:mergeCell ref="A10:H10"/>
  </x:mergeCells>
  <x:pageMargins left="0.7" right="0.7" top="0.75" bottom="0.75" header="0.3" footer="0.3"/>
  <x:drawing xmlns:r="http://schemas.openxmlformats.org/officeDocument/2006/relationships" r:id="R0084296d42aa4eed"/>
</x:worksheet>
</file>