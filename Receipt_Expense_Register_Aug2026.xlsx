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291380bb8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8cecd52cc14375"/>
    <x:sheet xmlns:r="http://schemas.openxmlformats.org/officeDocument/2006/relationships" name="Transactions" sheetId="2" r:id="Rd419c08613a84646"/>
    <x:sheet xmlns:r="http://schemas.openxmlformats.org/officeDocument/2006/relationships" name="Line Items" sheetId="3" r:id="R4c9dd0e1ac96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.00"/>
    <x:numFmt numFmtId="202" formatCode="0.0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3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</x:fills>
  <x:borders count="26">
    <x:border/>
    <x:border/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bottom style="hair">
        <x:color rgb="FFC9D2DC"/>
      </x:bottom>
    </x:border>
    <x:border>
      <x:bottom style="hair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</x:border>
    <x:border>
      <x:left style="thin">
        <x:color rgb="FFC9D2DC"/>
      </x:left>
      <x:right style="thin">
        <x:color rgb="FFC9D2DC"/>
      </x:right>
    </x:border>
    <x:border>
      <x:left style="thin">
        <x:color rgb="FFC9D2DC"/>
      </x:left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</x:border>
    <x:border>
      <x:left style="thin">
        <x:color rgb="FFC9D2DC"/>
      </x:left>
      <x:right style="thin">
        <x:color rgb="FFC9D2DC"/>
      </x:right>
    </x:border>
    <x:border>
      <x:left style="thin">
        <x:color rgb="FFC9D2DC"/>
      </x:left>
      <x:right style="thin">
        <x:color rgb="FFC9D2DC"/>
      </x:right>
      <x:bottom style="thin">
        <x:color rgb="FFC9D2DC"/>
      </x:bottom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201" fontId="0" fillId="0" borderId="9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3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/>
    </x:xf>
    <x:xf numFmtId="0" fontId="5" fillId="5" borderId="15" xfId="0" applyNumberFormat="1" applyFont="1" applyFill="1" applyBorder="1" applyAlignment="1">
      <x:alignment horizontal="center"/>
    </x:xf>
    <x:xf numFmtId="200" fontId="5" fillId="5" borderId="11" xfId="0" applyNumberFormat="1" applyFont="1" applyFill="1" applyBorder="1" applyAlignment="1">
      <x:alignment horizontal="center"/>
    </x:xf>
    <x:xf numFmtId="200" fontId="5" fillId="5" borderId="12" xfId="0" applyNumberFormat="1" applyFont="1" applyFill="1" applyBorder="1" applyAlignment="1">
      <x:alignment horizontal="center"/>
    </x:xf>
    <x:xf numFmtId="200" fontId="5" fillId="5" borderId="14" xfId="0" applyNumberFormat="1" applyFont="1" applyFill="1" applyBorder="1" applyAlignment="1">
      <x:alignment horizontal="center"/>
    </x:xf>
    <x:xf numFmtId="200" fontId="5" fillId="5" borderId="15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left"/>
    </x:xf>
    <x:xf numFmtId="0" fontId="3" fillId="6" borderId="1" xfId="0" applyNumberFormat="1" applyFont="1" applyFill="1" applyBorder="1" applyAlignment="1">
      <x:alignment horizontal="left" vertical="center"/>
    </x:xf>
    <x:xf numFmtId="0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19" xfId="0" applyNumberFormat="1" applyFont="1" applyFill="1" applyBorder="1"/>
    <x:xf numFmtId="201" fontId="0" fillId="0" borderId="20" xfId="0" applyNumberFormat="1" applyFont="1" applyFill="1" applyBorder="1"/>
    <x:xf numFmtId="0" fontId="0" fillId="0" borderId="21" xfId="0" applyNumberFormat="1" applyFont="1" applyFill="1" applyBorder="1"/>
    <x:xf numFmtId="201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1" fontId="0" fillId="0" borderId="24" xfId="0" applyNumberFormat="1" applyFont="1" applyFill="1" applyBorder="1"/>
    <x:xf numFmtId="201" fontId="0" fillId="0" borderId="25" xfId="0" applyNumberFormat="1" applyFont="1" applyFill="1" applyBorder="1"/>
    <x:xf numFmtId="0" fontId="0" fillId="0" borderId="17" xfId="0" applyNumberFormat="1" applyFont="1" applyFill="1" applyBorder="1"/>
    <x:xf numFmtId="0" fontId="0" fillId="0" borderId="20" xfId="0" applyNumberFormat="1" applyFont="1" applyFill="1" applyBorder="1"/>
    <x:xf numFmtId="0" fontId="0" fillId="0" borderId="22" xfId="0" applyNumberFormat="1" applyFont="1" applyFill="1" applyBorder="1"/>
    <x:xf numFmtId="0" fontId="0" fillId="0" borderId="2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b6c94308e427d" /><Relationship Type="http://schemas.openxmlformats.org/officeDocument/2006/relationships/theme" Target="/xl/theme/theme1.xml" Id="Rf47a3f174e1f4f7f" /><Relationship Type="http://schemas.openxmlformats.org/officeDocument/2006/relationships/sharedStrings" Target="/xl/sharedStrings.xml" Id="R106a909c218e4498" /><Relationship Type="http://schemas.openxmlformats.org/officeDocument/2006/relationships/worksheet" Target="/xl/worksheets/sheet1.xml" Id="R758cecd52cc14375" /><Relationship Type="http://schemas.openxmlformats.org/officeDocument/2006/relationships/worksheet" Target="/xl/worksheets/sheet2.xml" Id="Rd419c08613a84646" /><Relationship Type="http://schemas.openxmlformats.org/officeDocument/2006/relationships/worksheet" Target="/xl/worksheets/sheet3.xml" Id="R4c9dd0e1ac964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a392bac44141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Number of Receipts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Receipt Count</c:v>
          </c:tx>
          <c:cat>
            <c:strRef>
              <c:f>'Dashboard'!$F$6:$F$11</c:f>
              <c:strCache>
                <c:ptCount val="0"/>
              </c:strCache>
            </c:strRef>
          </c:cat>
          <c:val>
            <c:numRef>
              <c:f>'Dashboard'!$G$6:$G$11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a392bac44141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Table" displayName="TransactionsTable" ref="A4:R14" headerRowCount="1">
  <x:tableColumns count="18">
    <x:tableColumn id="1" name="Receipt ID"/>
    <x:tableColumn id="2" name="Source Page"/>
    <x:tableColumn id="3" name="Date"/>
    <x:tableColumn id="4" name="Time"/>
    <x:tableColumn id="5" name="Country"/>
    <x:tableColumn id="6" name="City"/>
    <x:tableColumn id="7" name="Merchant"/>
    <x:tableColumn id="8" name="Category"/>
    <x:tableColumn id="9" name="Description"/>
    <x:tableColumn id="10" name="Currency"/>
    <x:tableColumn id="11" name="Net / Excl. VAT"/>
    <x:tableColumn id="12" name="VAT"/>
    <x:tableColumn id="13" name="Receipt Subtotal"/>
    <x:tableColumn id="14" name="Tip"/>
    <x:tableColumn id="15" name="Total Paid"/>
    <x:tableColumn id="16" name="Payment Method"/>
    <x:tableColumn id="17" name="Reference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neItemsTable" displayName="LineItemsTable" ref="A4:J34" headerRowCount="1">
  <x:tableColumns count="10">
    <x:tableColumn id="1" name="Receipt ID"/>
    <x:tableColumn id="2" name="Source Page"/>
    <x:tableColumn id="3" name="Date"/>
    <x:tableColumn id="4" name="Merchant"/>
    <x:tableColumn id="5" name="Item"/>
    <x:tableColumn id="6" name="Quantity"/>
    <x:tableColumn id="7" name="Unit Price"/>
    <x:tableColumn id="8" name="Line Total"/>
    <x:tableColumn id="9" name="Currency"/>
    <x:tableColumn id="10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fc37ec6fc94e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665dd6765348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7f26919f8d4b17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3" hidden="0" customWidth="1"/>
    <x:col min="6" max="6" width="22" hidden="0" customWidth="1"/>
    <x:col min="7" max="7" width="44" hidden="0" customWidth="1"/>
    <x:col min="8" max="8" width="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2" customHeight="1">
      <x:c r="A1" s="5" t="str">
        <x:v>Receipt Expense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Summary of 10 receipts from 30 July to 2 August 2026. Currency totals are intentionally kept separate.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81" t="str">
        <x:v>Receipts</x:v>
      </x:c>
      <x:c r="B4" s="94" t="n">
        <x:f>COUNTA(Transactions!A5:A14)</x:f>
        <x:v>10</x:v>
      </x:c>
      <x:c r="F4" s="112" t="str">
        <x:v>Receipt Count by Category</x:v>
      </x:c>
      <x:c r="G4" s="112"/>
      <x:c r="H4" s="112"/>
    </x:row>
    <x:row r="5">
      <x:c r="A5" s="82" t="str">
        <x:v>Countries</x:v>
      </x:c>
      <x:c r="B5" s="95" t="n">
        <x:f>COUNTA(UNIQUE(Transactions!E5:E14))</x:f>
        <x:v>3</x:v>
      </x:c>
      <x:c r="F5" s="28" t="str">
        <x:v>Category</x:v>
      </x:c>
      <x:c r="G5" s="30" t="str">
        <x:v>Receipt Count</x:v>
      </x:c>
    </x:row>
    <x:row r="6">
      <x:c r="A6" s="82" t="str">
        <x:v>First Date</x:v>
      </x:c>
      <x:c r="B6" s="105" t="n">
        <x:f>MIN(Transactions!C5:C14)</x:f>
        <x:v>46233</x:v>
      </x:c>
      <x:c r="F6" s="117" t="str">
        <x:v>Dining</x:v>
      </x:c>
      <x:c r="G6" s="129" t="n">
        <x:f>COUNTIF(Transactions!$H$5:$H$14,F6)</x:f>
        <x:v>5</x:v>
      </x:c>
    </x:row>
    <x:row r="7">
      <x:c r="A7" s="83" t="str">
        <x:v>Last Date</x:v>
      </x:c>
      <x:c r="B7" s="106" t="n">
        <x:f>MAX(Transactions!C5:C14)</x:f>
        <x:v>46236</x:v>
      </x:c>
      <x:c r="F7" s="117" t="str">
        <x:v>Dining &amp; drinks</x:v>
      </x:c>
      <x:c r="G7" s="129" t="n">
        <x:f>COUNTIF(Transactions!$H$5:$H$14,F7)</x:f>
        <x:v>1</x:v>
      </x:c>
    </x:row>
    <x:row r="8">
      <x:c r="F8" s="117" t="str">
        <x:v>Fuel</x:v>
      </x:c>
      <x:c r="G8" s="129" t="n">
        <x:f>COUNTIF(Transactions!$H$5:$H$14,F8)</x:f>
        <x:v>1</x:v>
      </x:c>
    </x:row>
    <x:row r="9">
      <x:c r="A9" s="112" t="str">
        <x:v>Totals by Receipt Currency</x:v>
      </x:c>
      <x:c r="B9" s="112"/>
      <x:c r="C9" s="112"/>
      <x:c r="D9" s="112"/>
      <x:c r="F9" s="117" t="str">
        <x:v>Alcohol retail</x:v>
      </x:c>
      <x:c r="G9" s="129" t="n">
        <x:f>COUNTIF(Transactions!$H$5:$H$14,F9)</x:f>
        <x:v>1</x:v>
      </x:c>
    </x:row>
    <x:row r="10">
      <x:c r="A10" s="28" t="str">
        <x:v>Currency</x:v>
      </x:c>
      <x:c r="B10" s="29" t="str">
        <x:v>Receipts</x:v>
      </x:c>
      <x:c r="C10" s="29" t="str">
        <x:v>Total Paid</x:v>
      </x:c>
      <x:c r="D10" s="30" t="str">
        <x:v>VAT Identified</x:v>
      </x:c>
      <x:c r="F10" s="117" t="str">
        <x:v>Road permits</x:v>
      </x:c>
      <x:c r="G10" s="129" t="n">
        <x:f>COUNTIF(Transactions!$H$5:$H$14,F10)</x:f>
        <x:v>1</x:v>
      </x:c>
    </x:row>
    <x:row r="11">
      <x:c r="A11" s="117" t="str">
        <x:v>ZAR</x:v>
      </x:c>
      <x:c r="B11" s="48" t="n">
        <x:f>COUNTIF(Transactions!$J$5:$J$14,A11)</x:f>
        <x:v>4</x:v>
      </x:c>
      <x:c r="C11" s="46" t="n">
        <x:f>SUMIF(Transactions!$J$5:$J$14,A11,Transactions!$O$5:$O$14)</x:f>
        <x:v>1536.99</x:v>
      </x:c>
      <x:c r="D11" s="118" t="n">
        <x:f>SUMIF(Transactions!$J$5:$J$14,A11,Transactions!$L$5:$L$14)</x:f>
        <x:v>101.21000000000001</x:v>
      </x:c>
      <x:c r="F11" s="119" t="str">
        <x:v>Refreshment</x:v>
      </x:c>
      <x:c r="G11" s="130" t="n">
        <x:f>COUNTIF(Transactions!$H$5:$H$14,F11)</x:f>
        <x:v>1</x:v>
      </x:c>
    </x:row>
    <x:row r="12">
      <x:c r="A12" s="117" t="str">
        <x:v>BWP</x:v>
      </x:c>
      <x:c r="B12" s="48" t="n">
        <x:f>COUNTIF(Transactions!$J$5:$J$14,A12)</x:f>
        <x:v>5</x:v>
      </x:c>
      <x:c r="C12" s="46" t="n">
        <x:f>SUMIF(Transactions!$J$5:$J$14,A12,Transactions!$O$5:$O$14)</x:f>
        <x:v>1823.0000000000002</x:v>
      </x:c>
      <x:c r="D12" s="118" t="n">
        <x:f>SUMIF(Transactions!$J$5:$J$14,A12,Transactions!$L$5:$L$14)</x:f>
        <x:v>185.81000000000003</x:v>
      </x:c>
    </x:row>
    <x:row r="13">
      <x:c r="A13" s="119" t="str">
        <x:v>LSL</x:v>
      </x:c>
      <x:c r="B13" s="120" t="n">
        <x:f>COUNTIF(Transactions!$J$5:$J$14,A13)</x:f>
        <x:v>1</x:v>
      </x:c>
      <x:c r="C13" s="121" t="n">
        <x:f>SUMIF(Transactions!$J$5:$J$14,A13,Transactions!$O$5:$O$14)</x:f>
        <x:v>45</x:v>
      </x:c>
      <x:c r="D13" s="122" t="n">
        <x:f>SUMIF(Transactions!$J$5:$J$14,A13,Transactions!$L$5:$L$14)</x:f>
        <x:v>0</x:v>
      </x:c>
    </x:row>
    <x:row r="16">
      <x:c r="A16" s="112" t="str">
        <x:v>Category Spend by Currency</x:v>
      </x:c>
      <x:c r="B16" s="112"/>
      <x:c r="C16" s="112"/>
      <x:c r="D16" s="112"/>
      <x:c r="E16" s="112"/>
      <x:c r="F16" s="112" t="str">
        <x:v>Data Quality / Interpretation Notes</x:v>
      </x:c>
      <x:c r="G16" s="112"/>
      <x:c r="H16" s="112"/>
      <x:c r="I16" s="112"/>
      <x:c r="J16" s="112"/>
      <x:c r="K16" s="112"/>
      <x:c r="L16" s="112"/>
    </x:row>
    <x:row r="17">
      <x:c r="A17" s="28" t="str">
        <x:v>Category</x:v>
      </x:c>
      <x:c r="B17" s="29" t="str">
        <x:v>ZAR</x:v>
      </x:c>
      <x:c r="C17" s="29" t="str">
        <x:v>BWP</x:v>
      </x:c>
      <x:c r="D17" s="30" t="str">
        <x:v>LSL</x:v>
      </x:c>
      <x:c r="F17" s="133" t="str">
        <x:v>Page 4</x:v>
      </x:c>
      <x:c r="G17" s="134" t="str">
        <x:v>Museum Cafe total includes a handwritten P50 tip; total paid recorded as P1,225.</x:v>
      </x:c>
    </x:row>
    <x:row r="18">
      <x:c r="A18" s="117" t="str">
        <x:v>Dining</x:v>
      </x:c>
      <x:c r="B18" s="46" t="n">
        <x:f>SUMIFS(Transactions!$O$5:$O$14,Transactions!$H$5:$H$14,$A18,Transactions!$J$5:$J$14,B$17)</x:f>
        <x:v>656</x:v>
      </x:c>
      <x:c r="C18" s="46" t="n">
        <x:f>SUMIFS(Transactions!$O$5:$O$14,Transactions!$H$5:$H$14,$A18,Transactions!$J$5:$J$14,C$17)</x:f>
        <x:v>338</x:v>
      </x:c>
      <x:c r="D18" s="118" t="n">
        <x:f>SUMIFS(Transactions!$O$5:$O$14,Transactions!$H$5:$H$14,$A18,Transactions!$J$5:$J$14,D$17)</x:f>
        <x:v>0</x:v>
      </x:c>
      <x:c r="F18" s="133" t="str">
        <x:v>Page 9</x:v>
      </x:c>
      <x:c r="G18" s="134" t="str">
        <x:v>BURS transaction date is based on the visible 30 Jul 2026 authentication stamp.</x:v>
      </x:c>
    </x:row>
    <x:row r="19">
      <x:c r="A19" s="117" t="str">
        <x:v>Dining &amp; drinks</x:v>
      </x:c>
      <x:c r="B19" s="46" t="n">
        <x:f>SUMIFS(Transactions!$O$5:$O$14,Transactions!$H$5:$H$14,$A19,Transactions!$J$5:$J$14,B$17)</x:f>
        <x:v>0</x:v>
      </x:c>
      <x:c r="C19" s="46" t="n">
        <x:f>SUMIFS(Transactions!$O$5:$O$14,Transactions!$H$5:$H$14,$A19,Transactions!$J$5:$J$14,C$17)</x:f>
        <x:v>1225</x:v>
      </x:c>
      <x:c r="D19" s="118" t="n">
        <x:f>SUMIFS(Transactions!$O$5:$O$14,Transactions!$H$5:$H$14,$A19,Transactions!$J$5:$J$14,D$17)</x:f>
        <x:v>0</x:v>
      </x:c>
      <x:c r="F19" s="133" t="str">
        <x:v>Page 10</x:v>
      </x:c>
      <x:c r="G19" s="134" t="str">
        <x:v>The Maseru receipt uses 'R'; it is recorded as LSL because the merchant is in Lesotho.</x:v>
      </x:c>
    </x:row>
    <x:row r="20">
      <x:c r="A20" s="117" t="str">
        <x:v>Fuel</x:v>
      </x:c>
      <x:c r="B20" s="46" t="n">
        <x:f>SUMIFS(Transactions!$O$5:$O$14,Transactions!$H$5:$H$14,$A20,Transactions!$J$5:$J$14,B$17)</x:f>
        <x:v>761</x:v>
      </x:c>
      <x:c r="C20" s="46" t="n">
        <x:f>SUMIFS(Transactions!$O$5:$O$14,Transactions!$H$5:$H$14,$A20,Transactions!$J$5:$J$14,C$17)</x:f>
        <x:v>0</x:v>
      </x:c>
      <x:c r="D20" s="118" t="n">
        <x:f>SUMIFS(Transactions!$O$5:$O$14,Transactions!$H$5:$H$14,$A20,Transactions!$J$5:$J$14,D$17)</x:f>
        <x:v>0</x:v>
      </x:c>
      <x:c r="F20" s="135" t="str">
        <x:v>All pages</x:v>
      </x:c>
      <x:c r="G20" s="136" t="str">
        <x:v>No exchange-rate conversion has been applied; totals must be read by currency.</x:v>
      </x:c>
    </x:row>
    <x:row r="21">
      <x:c r="A21" s="117" t="str">
        <x:v>Alcohol retail</x:v>
      </x:c>
      <x:c r="B21" s="46" t="n">
        <x:f>SUMIFS(Transactions!$O$5:$O$14,Transactions!$H$5:$H$14,$A21,Transactions!$J$5:$J$14,B$17)</x:f>
        <x:v>119.99</x:v>
      </x:c>
      <x:c r="C21" s="46" t="n">
        <x:f>SUMIFS(Transactions!$O$5:$O$14,Transactions!$H$5:$H$14,$A21,Transactions!$J$5:$J$14,C$17)</x:f>
        <x:v>0</x:v>
      </x:c>
      <x:c r="D21" s="118" t="n">
        <x:f>SUMIFS(Transactions!$O$5:$O$14,Transactions!$H$5:$H$14,$A21,Transactions!$J$5:$J$14,D$17)</x:f>
        <x:v>0</x:v>
      </x:c>
    </x:row>
    <x:row r="22">
      <x:c r="A22" s="117" t="str">
        <x:v>Road permits</x:v>
      </x:c>
      <x:c r="B22" s="46" t="n">
        <x:f>SUMIFS(Transactions!$O$5:$O$14,Transactions!$H$5:$H$14,$A22,Transactions!$J$5:$J$14,B$17)</x:f>
        <x:v>0</x:v>
      </x:c>
      <x:c r="C22" s="46" t="n">
        <x:f>SUMIFS(Transactions!$O$5:$O$14,Transactions!$H$5:$H$14,$A22,Transactions!$J$5:$J$14,C$17)</x:f>
        <x:v>260</x:v>
      </x:c>
      <x:c r="D22" s="118" t="n">
        <x:f>SUMIFS(Transactions!$O$5:$O$14,Transactions!$H$5:$H$14,$A22,Transactions!$J$5:$J$14,D$17)</x:f>
        <x:v>0</x:v>
      </x:c>
    </x:row>
    <x:row r="23">
      <x:c r="A23" s="119" t="str">
        <x:v>Refreshment</x:v>
      </x:c>
      <x:c r="B23" s="121" t="n">
        <x:f>SUMIFS(Transactions!$O$5:$O$14,Transactions!$H$5:$H$14,$A23,Transactions!$J$5:$J$14,B$17)</x:f>
        <x:v>0</x:v>
      </x:c>
      <x:c r="C23" s="121" t="n">
        <x:f>SUMIFS(Transactions!$O$5:$O$14,Transactions!$H$5:$H$14,$A23,Transactions!$J$5:$J$14,C$17)</x:f>
        <x:v>0</x:v>
      </x:c>
      <x:c r="D23" s="122" t="n">
        <x:f>SUMIFS(Transactions!$O$5:$O$14,Transactions!$H$5:$H$14,$A23,Transactions!$J$5:$J$14,D$17)</x:f>
        <x:v>45</x:v>
      </x:c>
    </x:row>
  </x:sheetData>
  <x:mergeCells>
    <x:mergeCell ref="A1:L1"/>
    <x:mergeCell ref="A2:L2"/>
    <x:mergeCell ref="A9:D9"/>
    <x:mergeCell ref="F4:H4"/>
    <x:mergeCell ref="A16:E16"/>
    <x:mergeCell ref="F16:L16"/>
  </x:mergeCells>
  <x:conditionalFormatting sqref="G6:G11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ffc37ec6fc94e4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B5"/>
            </x14:dataBar>
          </x14:cfRule>
          <xm:sqref>G6:G11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9" hidden="0" customWidth="1"/>
    <x:col min="5" max="5" width="15" hidden="0" customWidth="1"/>
    <x:col min="6" max="6" width="19" hidden="0" customWidth="1"/>
    <x:col min="7" max="7" width="28" hidden="0" customWidth="1"/>
    <x:col min="8" max="8" width="18" hidden="0" customWidth="1"/>
    <x:col min="9" max="9" width="34" hidden="0" customWidth="1"/>
    <x:col min="10" max="10" width="10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8" hidden="0" customWidth="1"/>
    <x:col min="17" max="17" width="24" hidden="0" customWidth="1"/>
    <x:col min="18" max="18" width="44" hidden="0" customWidth="1"/>
  </x:cols>
  <x:sheetData>
    <x:row r="1" ht="30" customHeight="1">
      <x:c r="A1" s="5" t="str">
        <x:v>Receipt Expense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0" customHeight="1">
      <x:c r="A2" s="13" t="str">
        <x:v>Extracted from DOC-20260803-WA0027. Amounts remain in the original receipt currency; no FX conversion has been applied.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 ht="34" customHeight="1">
      <x:c r="A4" s="28" t="str">
        <x:v>Receipt ID</x:v>
      </x:c>
      <x:c r="B4" s="29" t="str">
        <x:v>Source Page</x:v>
      </x:c>
      <x:c r="C4" s="29" t="str">
        <x:v>Date</x:v>
      </x:c>
      <x:c r="D4" s="29" t="str">
        <x:v>Time</x:v>
      </x:c>
      <x:c r="E4" s="29" t="str">
        <x:v>Country</x:v>
      </x:c>
      <x:c r="F4" s="29" t="str">
        <x:v>City</x:v>
      </x:c>
      <x:c r="G4" s="29" t="str">
        <x:v>Merchant</x:v>
      </x:c>
      <x:c r="H4" s="29" t="str">
        <x:v>Category</x:v>
      </x:c>
      <x:c r="I4" s="29" t="str">
        <x:v>Description</x:v>
      </x:c>
      <x:c r="J4" s="29" t="str">
        <x:v>Currency</x:v>
      </x:c>
      <x:c r="K4" s="29" t="str">
        <x:v>Net / Excl. VAT</x:v>
      </x:c>
      <x:c r="L4" s="29" t="str">
        <x:v>VAT</x:v>
      </x:c>
      <x:c r="M4" s="29" t="str">
        <x:v>Receipt Subtotal</x:v>
      </x:c>
      <x:c r="N4" s="29" t="str">
        <x:v>Tip</x:v>
      </x:c>
      <x:c r="O4" s="29" t="str">
        <x:v>Total Paid</x:v>
      </x:c>
      <x:c r="P4" s="29" t="str">
        <x:v>Payment Method</x:v>
      </x:c>
      <x:c r="Q4" s="29" t="str">
        <x:v>Reference</x:v>
      </x:c>
      <x:c r="R4" s="30" t="str">
        <x:v>Notes</x:v>
      </x:c>
    </x:row>
    <x:row r="5">
      <x:c r="A5" s="55" t="str">
        <x:v>R001</x:v>
      </x:c>
      <x:c r="B5" s="55" t="n">
        <x:v>1</x:v>
      </x:c>
      <x:c r="C5" s="56" t="n">
        <x:v>46233</x:v>
      </x:c>
      <x:c r="D5" s="55" t="str">
        <x:v>12:12</x:v>
      </x:c>
      <x:c r="E5" s="55" t="str">
        <x:v>South Africa</x:v>
      </x:c>
      <x:c r="F5" s="55" t="str">
        <x:v>Zeerust</x:v>
      </x:c>
      <x:c r="G5" s="55" t="str">
        <x:v>Chicken Licken Zeerust</x:v>
      </x:c>
      <x:c r="H5" s="67" t="str">
        <x:v>Dining</x:v>
      </x:c>
      <x:c r="I5" s="67" t="str">
        <x:v>Hotwings 24 takeaway</x:v>
      </x:c>
      <x:c r="J5" s="55" t="str">
        <x:v>ZAR</x:v>
      </x:c>
      <x:c r="K5" s="57"/>
      <x:c r="L5" s="57" t="n">
        <x:v>22.17</x:v>
      </x:c>
      <x:c r="M5" s="57" t="n">
        <x:v>170</x:v>
      </x:c>
      <x:c r="N5" s="57" t="n">
        <x:v>0</x:v>
      </x:c>
      <x:c r="O5" s="57" t="n">
        <x:f>M5+N5</x:f>
        <x:v>170</x:v>
      </x:c>
      <x:c r="P5" s="55" t="str">
        <x:v>Debit card</x:v>
      </x:c>
      <x:c r="Q5" s="67" t="str">
        <x:v>Order #2072</x:v>
      </x:c>
      <x:c r="R5" s="67" t="str">
        <x:v>Receipt total and VAT clearly shown.</x:v>
      </x:c>
    </x:row>
    <x:row r="6">
      <x:c r="A6" s="55" t="str">
        <x:v>R002</x:v>
      </x:c>
      <x:c r="B6" s="55" t="n">
        <x:v>2</x:v>
      </x:c>
      <x:c r="C6" s="56" t="n">
        <x:v>46233</x:v>
      </x:c>
      <x:c r="D6" s="55" t="str">
        <x:v>12:44</x:v>
      </x:c>
      <x:c r="E6" s="55" t="str">
        <x:v>South Africa</x:v>
      </x:c>
      <x:c r="F6" s="55" t="str">
        <x:v>Zeerust</x:v>
      </x:c>
      <x:c r="G6" s="55" t="str">
        <x:v>Nando's Zeerust DT</x:v>
      </x:c>
      <x:c r="H6" s="67" t="str">
        <x:v>Dining</x:v>
      </x:c>
      <x:c r="I6" s="67" t="str">
        <x:v>Drizzle &amp; Dip Platter and 1.5L Stoney</x:v>
      </x:c>
      <x:c r="J6" s="55" t="str">
        <x:v>ZAR</x:v>
      </x:c>
      <x:c r="K6" s="57" t="n">
        <x:v>422.61</x:v>
      </x:c>
      <x:c r="L6" s="57" t="n">
        <x:v>63.39</x:v>
      </x:c>
      <x:c r="M6" s="57" t="n">
        <x:v>486</x:v>
      </x:c>
      <x:c r="N6" s="57" t="n">
        <x:v>0</x:v>
      </x:c>
      <x:c r="O6" s="57" t="n">
        <x:f>M6+N6</x:f>
        <x:v>486</x:v>
      </x:c>
      <x:c r="P6" s="55" t="str">
        <x:v>Card / not specified</x:v>
      </x:c>
      <x:c r="Q6" s="67" t="str">
        <x:v>Check 5849; Order 849</x:v>
      </x:c>
      <x:c r="R6" s="67" t="str">
        <x:v>Net total and VAT shown on receipt.</x:v>
      </x:c>
    </x:row>
    <x:row r="7">
      <x:c r="A7" s="55" t="str">
        <x:v>R003</x:v>
      </x:c>
      <x:c r="B7" s="55" t="n">
        <x:v>3</x:v>
      </x:c>
      <x:c r="C7" s="56" t="n">
        <x:v>46236</x:v>
      </x:c>
      <x:c r="D7" s="55" t="str">
        <x:v>08:55</x:v>
      </x:c>
      <x:c r="E7" s="55" t="str">
        <x:v>South Africa</x:v>
      </x:c>
      <x:c r="F7" s="55" t="str">
        <x:v>Zeerust</x:v>
      </x:c>
      <x:c r="G7" s="55" t="str">
        <x:v>NWK Zeerust Pitstop</x:v>
      </x:c>
      <x:c r="H7" s="67" t="str">
        <x:v>Fuel</x:v>
      </x:c>
      <x:c r="I7" s="67" t="str">
        <x:v>28.134 litres Eco Diesel Premium Plus Evolu</x:v>
      </x:c>
      <x:c r="J7" s="55" t="str">
        <x:v>ZAR</x:v>
      </x:c>
      <x:c r="K7" s="57" t="n">
        <x:v>761</x:v>
      </x:c>
      <x:c r="L7" s="57" t="n">
        <x:v>0</x:v>
      </x:c>
      <x:c r="M7" s="57" t="n">
        <x:v>761</x:v>
      </x:c>
      <x:c r="N7" s="57" t="n">
        <x:v>0</x:v>
      </x:c>
      <x:c r="O7" s="57" t="n">
        <x:f>M7+N7</x:f>
        <x:v>761</x:v>
      </x:c>
      <x:c r="P7" s="55" t="str">
        <x:v>Cash</x:v>
      </x:c>
      <x:c r="Q7" s="67" t="str">
        <x:v>002 0324897110</x:v>
      </x:c>
      <x:c r="R7" s="67" t="str">
        <x:v>Receipt displays VAT/BTW as 0.00.</x:v>
      </x:c>
    </x:row>
    <x:row r="8">
      <x:c r="A8" s="55" t="str">
        <x:v>R004</x:v>
      </x:c>
      <x:c r="B8" s="55" t="n">
        <x:v>4</x:v>
      </x:c>
      <x:c r="C8" s="56" t="n">
        <x:v>46235</x:v>
      </x:c>
      <x:c r="D8" s="55" t="str">
        <x:v>17:33</x:v>
      </x:c>
      <x:c r="E8" s="55" t="str">
        <x:v>Botswana</x:v>
      </x:c>
      <x:c r="F8" s="55" t="str">
        <x:v>Gaborone</x:v>
      </x:c>
      <x:c r="G8" s="55" t="str">
        <x:v>Museum Cafe</x:v>
      </x:c>
      <x:c r="H8" s="67" t="str">
        <x:v>Dining &amp; drinks</x:v>
      </x:c>
      <x:c r="I8" s="67" t="str">
        <x:v>Restaurant bill for 5 covers</x:v>
      </x:c>
      <x:c r="J8" s="55" t="str">
        <x:v>BWP</x:v>
      </x:c>
      <x:c r="K8" s="57" t="n">
        <x:v>1030.7</x:v>
      </x:c>
      <x:c r="L8" s="57" t="n">
        <x:v>144.3</x:v>
      </x:c>
      <x:c r="M8" s="57" t="n">
        <x:v>1175</x:v>
      </x:c>
      <x:c r="N8" s="57" t="n">
        <x:v>50</x:v>
      </x:c>
      <x:c r="O8" s="57" t="n">
        <x:f>M8+N8</x:f>
        <x:v>1225</x:v>
      </x:c>
      <x:c r="P8" s="55" t="str">
        <x:v>Not shown</x:v>
      </x:c>
      <x:c r="Q8" s="67" t="str">
        <x:v>Pro-forma invoice 00003975</x:v>
      </x:c>
      <x:c r="R8" s="67" t="str">
        <x:v>Handwritten tip P50.00 and handwritten total P1,225.00.</x:v>
      </x:c>
    </x:row>
    <x:row r="9">
      <x:c r="A9" s="55" t="str">
        <x:v>R005</x:v>
      </x:c>
      <x:c r="B9" s="55" t="n">
        <x:v>5</x:v>
      </x:c>
      <x:c r="C9" s="56" t="n">
        <x:v>46233</x:v>
      </x:c>
      <x:c r="D9" s="55" t="str">
        <x:v>12:34</x:v>
      </x:c>
      <x:c r="E9" s="55" t="str">
        <x:v>South Africa</x:v>
      </x:c>
      <x:c r="F9" s="55" t="str">
        <x:v>Zeerust</x:v>
      </x:c>
      <x:c r="G9" s="55" t="str">
        <x:v>Shoprite LiquorShop Zeerust</x:v>
      </x:c>
      <x:c r="H9" s="67" t="str">
        <x:v>Alcohol retail</x:v>
      </x:c>
      <x:c r="I9" s="67" t="str">
        <x:v>Corona 6 x 410ml</x:v>
      </x:c>
      <x:c r="J9" s="55" t="str">
        <x:v>ZAR</x:v>
      </x:c>
      <x:c r="K9" s="57" t="n">
        <x:v>104.34</x:v>
      </x:c>
      <x:c r="L9" s="57" t="n">
        <x:v>15.65</x:v>
      </x:c>
      <x:c r="M9" s="57" t="n">
        <x:v>119.99</x:v>
      </x:c>
      <x:c r="N9" s="57" t="n">
        <x:v>0</x:v>
      </x:c>
      <x:c r="O9" s="57" t="n">
        <x:f>M9+N9</x:f>
        <x:v>119.99</x:v>
      </x:c>
      <x:c r="P9" s="55" t="str">
        <x:v>Electronic payment</x:v>
      </x:c>
      <x:c r="Q9" s="67" t="str"/>
      <x:c r="R9" s="67" t="str">
        <x:v>Gross, net and VAT shown.</x:v>
      </x:c>
    </x:row>
    <x:row r="10">
      <x:c r="A10" s="55" t="str">
        <x:v>R006</x:v>
      </x:c>
      <x:c r="B10" s="55" t="n">
        <x:v>6</x:v>
      </x:c>
      <x:c r="C10" s="56" t="n">
        <x:v>46234</x:v>
      </x:c>
      <x:c r="D10" s="55" t="str">
        <x:v>22:11</x:v>
      </x:c>
      <x:c r="E10" s="55" t="str">
        <x:v>Botswana</x:v>
      </x:c>
      <x:c r="F10" s="55" t="str">
        <x:v>Gaborone</x:v>
      </x:c>
      <x:c r="G10" s="55" t="str">
        <x:v>Steers The Fields</x:v>
      </x:c>
      <x:c r="H10" s="67" t="str">
        <x:v>Dining</x:v>
      </x:c>
      <x:c r="I10" s="67" t="str">
        <x:v>Chicken Bra Meal</x:v>
      </x:c>
      <x:c r="J10" s="55" t="str">
        <x:v>BWP</x:v>
      </x:c>
      <x:c r="K10" s="57" t="n">
        <x:v>52.54</x:v>
      </x:c>
      <x:c r="L10" s="57" t="n">
        <x:v>7.36</x:v>
      </x:c>
      <x:c r="M10" s="57" t="n">
        <x:v>59.9</x:v>
      </x:c>
      <x:c r="N10" s="57" t="n">
        <x:v>0</x:v>
      </x:c>
      <x:c r="O10" s="57" t="n">
        <x:f>M10+N10</x:f>
        <x:v>59.9</x:v>
      </x:c>
      <x:c r="P10" s="55" t="str">
        <x:v>CloudPmt</x:v>
      </x:c>
      <x:c r="Q10" s="67" t="str">
        <x:v>Invoice 236695; Order 242</x:v>
      </x:c>
      <x:c r="R10" s="67" t="str">
        <x:v>VAT included.</x:v>
      </x:c>
    </x:row>
    <x:row r="11">
      <x:c r="A11" s="55" t="str">
        <x:v>R007</x:v>
      </x:c>
      <x:c r="B11" s="55" t="n">
        <x:v>7</x:v>
      </x:c>
      <x:c r="C11" s="56" t="n">
        <x:v>46234</x:v>
      </x:c>
      <x:c r="D11" s="55" t="str">
        <x:v>22:09</x:v>
      </x:c>
      <x:c r="E11" s="55" t="str">
        <x:v>Botswana</x:v>
      </x:c>
      <x:c r="F11" s="55" t="str">
        <x:v>Gaborone</x:v>
      </x:c>
      <x:c r="G11" s="55" t="str">
        <x:v>Steers The Fields</x:v>
      </x:c>
      <x:c r="H11" s="67" t="str">
        <x:v>Dining</x:v>
      </x:c>
      <x:c r="I11" s="67" t="str">
        <x:v>King Steer Burger Meal</x:v>
      </x:c>
      <x:c r="J11" s="55" t="str">
        <x:v>BWP</x:v>
      </x:c>
      <x:c r="K11" s="57" t="n">
        <x:v>94.65</x:v>
      </x:c>
      <x:c r="L11" s="57" t="n">
        <x:v>13.25</x:v>
      </x:c>
      <x:c r="M11" s="57" t="n">
        <x:v>107.9</x:v>
      </x:c>
      <x:c r="N11" s="57" t="n">
        <x:v>0</x:v>
      </x:c>
      <x:c r="O11" s="57" t="n">
        <x:f>M11+N11</x:f>
        <x:v>107.9</x:v>
      </x:c>
      <x:c r="P11" s="55" t="str">
        <x:v>CloudPmt</x:v>
      </x:c>
      <x:c r="Q11" s="67" t="str">
        <x:v>Invoice 236694; Order 241</x:v>
      </x:c>
      <x:c r="R11" s="67" t="str">
        <x:v>VAT included.</x:v>
      </x:c>
    </x:row>
    <x:row r="12">
      <x:c r="A12" s="55" t="str">
        <x:v>R008</x:v>
      </x:c>
      <x:c r="B12" s="55" t="n">
        <x:v>8</x:v>
      </x:c>
      <x:c r="C12" s="56" t="n">
        <x:v>46234</x:v>
      </x:c>
      <x:c r="D12" s="55" t="str">
        <x:v>22:01</x:v>
      </x:c>
      <x:c r="E12" s="55" t="str">
        <x:v>Botswana</x:v>
      </x:c>
      <x:c r="F12" s="55" t="str">
        <x:v>Gaborone</x:v>
      </x:c>
      <x:c r="G12" s="55" t="str">
        <x:v>Chicken Licken The Fields</x:v>
      </x:c>
      <x:c r="H12" s="67" t="str">
        <x:v>Dining</x:v>
      </x:c>
      <x:c r="I12" s="67" t="str">
        <x:v>Hotwings 24 and plastic bag levy</x:v>
      </x:c>
      <x:c r="J12" s="55" t="str">
        <x:v>BWP</x:v>
      </x:c>
      <x:c r="K12" s="57"/>
      <x:c r="L12" s="57" t="n">
        <x:v>20.9</x:v>
      </x:c>
      <x:c r="M12" s="57" t="n">
        <x:v>170.2</x:v>
      </x:c>
      <x:c r="N12" s="57" t="n">
        <x:v>0</x:v>
      </x:c>
      <x:c r="O12" s="57" t="n">
        <x:f>M12+N12</x:f>
        <x:v>170.2</x:v>
      </x:c>
      <x:c r="P12" s="55" t="str">
        <x:v>Cash</x:v>
      </x:c>
      <x:c r="Q12" s="67" t="str">
        <x:v>Order #1380</x:v>
      </x:c>
      <x:c r="R12" s="67" t="str">
        <x:v>Cash P200.00; printed change shown as -P29.80.</x:v>
      </x:c>
    </x:row>
    <x:row r="13">
      <x:c r="A13" s="55" t="str">
        <x:v>R009</x:v>
      </x:c>
      <x:c r="B13" s="55" t="n">
        <x:v>9</x:v>
      </x:c>
      <x:c r="C13" s="56" t="n">
        <x:v>46233</x:v>
      </x:c>
      <x:c r="D13" s="55" t="str"/>
      <x:c r="E13" s="55" t="str">
        <x:v>Botswana</x:v>
      </x:c>
      <x:c r="F13" s="55" t="str">
        <x:v>Tlokweng Gate</x:v>
      </x:c>
      <x:c r="G13" s="55" t="str">
        <x:v>Botswana Unified Revenue Service</x:v>
      </x:c>
      <x:c r="H13" s="67" t="str">
        <x:v>Road permits</x:v>
      </x:c>
      <x:c r="I13" s="67" t="str">
        <x:v>Road safety fund, motor insurance and road transport permit</x:v>
      </x:c>
      <x:c r="J13" s="55" t="str">
        <x:v>BWP</x:v>
      </x:c>
      <x:c r="K13" s="57" t="n">
        <x:v>260</x:v>
      </x:c>
      <x:c r="L13" s="57" t="n">
        <x:v>0</x:v>
      </x:c>
      <x:c r="M13" s="57" t="n">
        <x:v>260</x:v>
      </x:c>
      <x:c r="N13" s="57" t="n">
        <x:v>0</x:v>
      </x:c>
      <x:c r="O13" s="57" t="n">
        <x:f>M13+N13</x:f>
        <x:v>260</x:v>
      </x:c>
      <x:c r="P13" s="55" t="str">
        <x:v>POS</x:v>
      </x:c>
      <x:c r="Q13" s="67" t="str">
        <x:v>Receipt number partially unreadable</x:v>
      </x:c>
      <x:c r="R13" s="67" t="str">
        <x:v>Date taken from the BURS authentication stamp (30 Jul 2026); issued-date print is faint.</x:v>
      </x:c>
    </x:row>
    <x:row r="14">
      <x:c r="A14" s="58" t="str">
        <x:v>R010</x:v>
      </x:c>
      <x:c r="B14" s="58" t="n">
        <x:v>10</x:v>
      </x:c>
      <x:c r="C14" s="59" t="n">
        <x:v>46233</x:v>
      </x:c>
      <x:c r="D14" s="58" t="str">
        <x:v>05:55</x:v>
      </x:c>
      <x:c r="E14" s="58" t="str">
        <x:v>Lesotho</x:v>
      </x:c>
      <x:c r="F14" s="58" t="str">
        <x:v>Maseru Bridge Border</x:v>
      </x:c>
      <x:c r="G14" s="58" t="str">
        <x:v>Driveway Filling Station</x:v>
      </x:c>
      <x:c r="H14" s="68" t="str">
        <x:v>Refreshment</x:v>
      </x:c>
      <x:c r="I14" s="68" t="str">
        <x:v>Cafe latte</x:v>
      </x:c>
      <x:c r="J14" s="58" t="str">
        <x:v>LSL</x:v>
      </x:c>
      <x:c r="K14" s="60"/>
      <x:c r="L14" s="60"/>
      <x:c r="M14" s="60" t="n">
        <x:v>45</x:v>
      </x:c>
      <x:c r="N14" s="60" t="n">
        <x:v>0</x:v>
      </x:c>
      <x:c r="O14" s="60" t="n">
        <x:f>M14+N14</x:f>
        <x:v>45</x:v>
      </x:c>
      <x:c r="P14" s="58" t="str">
        <x:v>Card</x:v>
      </x:c>
      <x:c r="Q14" s="68" t="str">
        <x:v>Invoice 385308</x:v>
      </x:c>
      <x:c r="R14" s="68" t="str">
        <x:v>Receipt states prices include 15% tax, but the VAT amount is not separately shown.</x:v>
      </x:c>
    </x:row>
  </x:sheetData>
  <x:mergeCells>
    <x:mergeCell ref="A1:R1"/>
    <x:mergeCell ref="A2:R2"/>
  </x:mergeCells>
  <x:conditionalFormatting sqref="R5:R14">
    <x:cfRule type="expression" dxfId="0" priority="1">
      <x:formula>OR(ISNUMBER(SEARCH("handwritten",R5)),ISNUMBER(SEARCH("unreadable",R5)),ISNUMBER(SEARCH("faint",R5)))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665dd6765348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30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0" hidden="0" customWidth="1"/>
    <x:col min="10" max="10" width="18" hidden="0" customWidth="1"/>
  </x:cols>
  <x:sheetData>
    <x:row r="1" ht="30" customHeight="1">
      <x:c r="A1" s="5" t="str">
        <x:v>Receipt Line Items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Detailed items transcribed from each page. Zero-priced meal components are retained where they appear on the receipt.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2" customHeight="1">
      <x:c r="A4" s="28" t="str">
        <x:v>Receipt ID</x:v>
      </x:c>
      <x:c r="B4" s="29" t="str">
        <x:v>Source Page</x:v>
      </x:c>
      <x:c r="C4" s="29" t="str">
        <x:v>Date</x:v>
      </x:c>
      <x:c r="D4" s="29" t="str">
        <x:v>Merchant</x:v>
      </x:c>
      <x:c r="E4" s="29" t="str">
        <x:v>Item</x:v>
      </x:c>
      <x:c r="F4" s="29" t="str">
        <x:v>Quantity</x:v>
      </x:c>
      <x:c r="G4" s="29" t="str">
        <x:v>Unit Price</x:v>
      </x:c>
      <x:c r="H4" s="29" t="str">
        <x:v>Line Total</x:v>
      </x:c>
      <x:c r="I4" s="29" t="str">
        <x:v>Currency</x:v>
      </x:c>
      <x:c r="J4" s="30" t="str">
        <x:v>Category</x:v>
      </x:c>
    </x:row>
    <x:row r="5">
      <x:c r="A5" s="48" t="str">
        <x:v>R001</x:v>
      </x:c>
      <x:c r="B5" s="48" t="n">
        <x:v>1</x:v>
      </x:c>
      <x:c r="C5" s="44" t="n">
        <x:v>46233</x:v>
      </x:c>
      <x:c r="D5" s="75" t="str">
        <x:v>Chicken Licken Zeerust</x:v>
      </x:c>
      <x:c r="E5" s="75" t="str">
        <x:v>Hotwings 24</x:v>
      </x:c>
      <x:c r="F5" s="71" t="n">
        <x:v>1</x:v>
      </x:c>
      <x:c r="G5" s="46" t="n">
        <x:v>170</x:v>
      </x:c>
      <x:c r="H5" s="46" t="n">
        <x:v>170</x:v>
      </x:c>
      <x:c r="I5" s="48" t="str">
        <x:v>ZAR</x:v>
      </x:c>
      <x:c r="J5" s="48" t="str">
        <x:v>Dining</x:v>
      </x:c>
    </x:row>
    <x:row r="6">
      <x:c r="A6" s="48" t="str">
        <x:v>R002</x:v>
      </x:c>
      <x:c r="B6" s="48" t="n">
        <x:v>2</x:v>
      </x:c>
      <x:c r="C6" s="44" t="n">
        <x:v>46233</x:v>
      </x:c>
      <x:c r="D6" s="75" t="str">
        <x:v>Nando's Zeerust DT</x:v>
      </x:c>
      <x:c r="E6" s="75" t="str">
        <x:v>Drizzle &amp; Dip Platter</x:v>
      </x:c>
      <x:c r="F6" s="71" t="n">
        <x:v>1</x:v>
      </x:c>
      <x:c r="G6" s="46" t="n">
        <x:v>449</x:v>
      </x:c>
      <x:c r="H6" s="46" t="n">
        <x:v>449</x:v>
      </x:c>
      <x:c r="I6" s="48" t="str">
        <x:v>ZAR</x:v>
      </x:c>
      <x:c r="J6" s="48" t="str">
        <x:v>Dining</x:v>
      </x:c>
    </x:row>
    <x:row r="7">
      <x:c r="A7" s="48" t="str">
        <x:v>R002</x:v>
      </x:c>
      <x:c r="B7" s="48" t="n">
        <x:v>2</x:v>
      </x:c>
      <x:c r="C7" s="44" t="n">
        <x:v>46233</x:v>
      </x:c>
      <x:c r="D7" s="75" t="str">
        <x:v>Nando's Zeerust DT</x:v>
      </x:c>
      <x:c r="E7" s="75" t="str">
        <x:v>1.5L Stoney</x:v>
      </x:c>
      <x:c r="F7" s="71" t="n">
        <x:v>1</x:v>
      </x:c>
      <x:c r="G7" s="46" t="n">
        <x:v>37</x:v>
      </x:c>
      <x:c r="H7" s="46" t="n">
        <x:v>37</x:v>
      </x:c>
      <x:c r="I7" s="48" t="str">
        <x:v>ZAR</x:v>
      </x:c>
      <x:c r="J7" s="48" t="str">
        <x:v>Dining</x:v>
      </x:c>
    </x:row>
    <x:row r="8">
      <x:c r="A8" s="48" t="str">
        <x:v>R003</x:v>
      </x:c>
      <x:c r="B8" s="48" t="n">
        <x:v>3</x:v>
      </x:c>
      <x:c r="C8" s="44" t="n">
        <x:v>46236</x:v>
      </x:c>
      <x:c r="D8" s="75" t="str">
        <x:v>NWK Zeerust Pitstop</x:v>
      </x:c>
      <x:c r="E8" s="75" t="str">
        <x:v>Eco Diesel Premium Plus Evolu (litres)</x:v>
      </x:c>
      <x:c r="F8" s="71" t="n">
        <x:v>28.134</x:v>
      </x:c>
      <x:c r="G8" s="46" t="n">
        <x:v>27.05</x:v>
      </x:c>
      <x:c r="H8" s="46" t="n">
        <x:v>761</x:v>
      </x:c>
      <x:c r="I8" s="48" t="str">
        <x:v>ZAR</x:v>
      </x:c>
      <x:c r="J8" s="48" t="str">
        <x:v>Fuel</x:v>
      </x:c>
    </x:row>
    <x:row r="9">
      <x:c r="A9" s="48" t="str">
        <x:v>R004</x:v>
      </x:c>
      <x:c r="B9" s="48" t="n">
        <x:v>4</x:v>
      </x:c>
      <x:c r="C9" s="44" t="n">
        <x:v>46235</x:v>
      </x:c>
      <x:c r="D9" s="75" t="str">
        <x:v>Museum Cafe</x:v>
      </x:c>
      <x:c r="E9" s="75" t="str">
        <x:v>200ml Tonic Water</x:v>
      </x:c>
      <x:c r="F9" s="71" t="n">
        <x:v>1</x:v>
      </x:c>
      <x:c r="G9" s="46" t="n">
        <x:v>25</x:v>
      </x:c>
      <x:c r="H9" s="46" t="n">
        <x:v>25</x:v>
      </x:c>
      <x:c r="I9" s="48" t="str">
        <x:v>BWP</x:v>
      </x:c>
      <x:c r="J9" s="48" t="str">
        <x:v>Dining &amp; drinks</x:v>
      </x:c>
    </x:row>
    <x:row r="10">
      <x:c r="A10" s="48" t="str">
        <x:v>R004</x:v>
      </x:c>
      <x:c r="B10" s="48" t="n">
        <x:v>4</x:v>
      </x:c>
      <x:c r="C10" s="44" t="n">
        <x:v>46235</x:v>
      </x:c>
      <x:c r="D10" s="75" t="str">
        <x:v>Museum Cafe</x:v>
      </x:c>
      <x:c r="E10" s="75" t="str">
        <x:v>Brutal Fruit</x:v>
      </x:c>
      <x:c r="F10" s="71" t="n">
        <x:v>2</x:v>
      </x:c>
      <x:c r="G10" s="46" t="n">
        <x:v>45</x:v>
      </x:c>
      <x:c r="H10" s="46" t="n">
        <x:v>90</x:v>
      </x:c>
      <x:c r="I10" s="48" t="str">
        <x:v>BWP</x:v>
      </x:c>
      <x:c r="J10" s="48" t="str">
        <x:v>Dining &amp; drinks</x:v>
      </x:c>
    </x:row>
    <x:row r="11">
      <x:c r="A11" s="48" t="str">
        <x:v>R004</x:v>
      </x:c>
      <x:c r="B11" s="48" t="n">
        <x:v>4</x:v>
      </x:c>
      <x:c r="C11" s="44" t="n">
        <x:v>46235</x:v>
      </x:c>
      <x:c r="D11" s="75" t="str">
        <x:v>Museum Cafe</x:v>
      </x:c>
      <x:c r="E11" s="75" t="str">
        <x:v>Gin &amp; Tonic</x:v>
      </x:c>
      <x:c r="F11" s="71" t="n">
        <x:v>1</x:v>
      </x:c>
      <x:c r="G11" s="46" t="n">
        <x:v>85</x:v>
      </x:c>
      <x:c r="H11" s="46" t="n">
        <x:v>85</x:v>
      </x:c>
      <x:c r="I11" s="48" t="str">
        <x:v>BWP</x:v>
      </x:c>
      <x:c r="J11" s="48" t="str">
        <x:v>Dining &amp; drinks</x:v>
      </x:c>
    </x:row>
    <x:row r="12">
      <x:c r="A12" s="48" t="str">
        <x:v>R004</x:v>
      </x:c>
      <x:c r="B12" s="48" t="n">
        <x:v>4</x:v>
      </x:c>
      <x:c r="C12" s="44" t="n">
        <x:v>46235</x:v>
      </x:c>
      <x:c r="D12" s="75" t="str">
        <x:v>Museum Cafe</x:v>
      </x:c>
      <x:c r="E12" s="75" t="str">
        <x:v>Gordon's TOT</x:v>
      </x:c>
      <x:c r="F12" s="71" t="n">
        <x:v>2</x:v>
      </x:c>
      <x:c r="G12" s="46" t="n">
        <x:v>35</x:v>
      </x:c>
      <x:c r="H12" s="46" t="n">
        <x:v>70</x:v>
      </x:c>
      <x:c r="I12" s="48" t="str">
        <x:v>BWP</x:v>
      </x:c>
      <x:c r="J12" s="48" t="str">
        <x:v>Dining &amp; drinks</x:v>
      </x:c>
    </x:row>
    <x:row r="13">
      <x:c r="A13" s="48" t="str">
        <x:v>R004</x:v>
      </x:c>
      <x:c r="B13" s="48" t="n">
        <x:v>4</x:v>
      </x:c>
      <x:c r="C13" s="44" t="n">
        <x:v>46235</x:v>
      </x:c>
      <x:c r="D13" s="75" t="str">
        <x:v>Museum Cafe</x:v>
      </x:c>
      <x:c r="E13" s="75" t="str">
        <x:v>Hot Chocolate</x:v>
      </x:c>
      <x:c r="F13" s="71" t="n">
        <x:v>1</x:v>
      </x:c>
      <x:c r="G13" s="46" t="n">
        <x:v>45</x:v>
      </x:c>
      <x:c r="H13" s="46" t="n">
        <x:v>45</x:v>
      </x:c>
      <x:c r="I13" s="48" t="str">
        <x:v>BWP</x:v>
      </x:c>
      <x:c r="J13" s="48" t="str">
        <x:v>Dining &amp; drinks</x:v>
      </x:c>
    </x:row>
    <x:row r="14">
      <x:c r="A14" s="48" t="str">
        <x:v>R004</x:v>
      </x:c>
      <x:c r="B14" s="48" t="n">
        <x:v>4</x:v>
      </x:c>
      <x:c r="C14" s="44" t="n">
        <x:v>46235</x:v>
      </x:c>
      <x:c r="D14" s="75" t="str">
        <x:v>Museum Cafe</x:v>
      </x:c>
      <x:c r="E14" s="75" t="str">
        <x:v>Kgale Hill Chicken</x:v>
      </x:c>
      <x:c r="F14" s="71" t="n">
        <x:v>1</x:v>
      </x:c>
      <x:c r="G14" s="46" t="n">
        <x:v>150</x:v>
      </x:c>
      <x:c r="H14" s="46" t="n">
        <x:v>150</x:v>
      </x:c>
      <x:c r="I14" s="48" t="str">
        <x:v>BWP</x:v>
      </x:c>
      <x:c r="J14" s="48" t="str">
        <x:v>Dining &amp; drinks</x:v>
      </x:c>
    </x:row>
    <x:row r="15">
      <x:c r="A15" s="48" t="str">
        <x:v>R004</x:v>
      </x:c>
      <x:c r="B15" s="48" t="n">
        <x:v>4</x:v>
      </x:c>
      <x:c r="C15" s="44" t="n">
        <x:v>46235</x:v>
      </x:c>
      <x:c r="D15" s="75" t="str">
        <x:v>Museum Cafe</x:v>
      </x:c>
      <x:c r="E15" s="75" t="str">
        <x:v>Liquifruit Cranberry</x:v>
      </x:c>
      <x:c r="F15" s="71" t="n">
        <x:v>1</x:v>
      </x:c>
      <x:c r="G15" s="46" t="n">
        <x:v>20</x:v>
      </x:c>
      <x:c r="H15" s="46" t="n">
        <x:v>20</x:v>
      </x:c>
      <x:c r="I15" s="48" t="str">
        <x:v>BWP</x:v>
      </x:c>
      <x:c r="J15" s="48" t="str">
        <x:v>Dining &amp; drinks</x:v>
      </x:c>
    </x:row>
    <x:row r="16">
      <x:c r="A16" s="48" t="str">
        <x:v>R004</x:v>
      </x:c>
      <x:c r="B16" s="48" t="n">
        <x:v>4</x:v>
      </x:c>
      <x:c r="C16" s="44" t="n">
        <x:v>46235</x:v>
      </x:c>
      <x:c r="D16" s="75" t="str">
        <x:v>Museum Cafe</x:v>
      </x:c>
      <x:c r="E16" s="75" t="str">
        <x:v>Long Island Iced Tea</x:v>
      </x:c>
      <x:c r="F16" s="71" t="n">
        <x:v>1</x:v>
      </x:c>
      <x:c r="G16" s="46" t="n">
        <x:v>185</x:v>
      </x:c>
      <x:c r="H16" s="46" t="n">
        <x:v>185</x:v>
      </x:c>
      <x:c r="I16" s="48" t="str">
        <x:v>BWP</x:v>
      </x:c>
      <x:c r="J16" s="48" t="str">
        <x:v>Dining &amp; drinks</x:v>
      </x:c>
    </x:row>
    <x:row r="17">
      <x:c r="A17" s="48" t="str">
        <x:v>R004</x:v>
      </x:c>
      <x:c r="B17" s="48" t="n">
        <x:v>4</x:v>
      </x:c>
      <x:c r="C17" s="44" t="n">
        <x:v>46235</x:v>
      </x:c>
      <x:c r="D17" s="75" t="str">
        <x:v>Museum Cafe</x:v>
      </x:c>
      <x:c r="E17" s="75" t="str">
        <x:v>Savanna Dry</x:v>
      </x:c>
      <x:c r="F17" s="71" t="n">
        <x:v>4</x:v>
      </x:c>
      <x:c r="G17" s="46" t="n">
        <x:v>45</x:v>
      </x:c>
      <x:c r="H17" s="46" t="n">
        <x:v>180</x:v>
      </x:c>
      <x:c r="I17" s="48" t="str">
        <x:v>BWP</x:v>
      </x:c>
      <x:c r="J17" s="48" t="str">
        <x:v>Dining &amp; drinks</x:v>
      </x:c>
    </x:row>
    <x:row r="18">
      <x:c r="A18" s="48" t="str">
        <x:v>R004</x:v>
      </x:c>
      <x:c r="B18" s="48" t="n">
        <x:v>4</x:v>
      </x:c>
      <x:c r="C18" s="44" t="n">
        <x:v>46235</x:v>
      </x:c>
      <x:c r="D18" s="75" t="str">
        <x:v>Museum Cafe</x:v>
      </x:c>
      <x:c r="E18" s="75" t="str">
        <x:v>St Louis Lager</x:v>
      </x:c>
      <x:c r="F18" s="71" t="n">
        <x:v>1</x:v>
      </x:c>
      <x:c r="G18" s="46" t="n">
        <x:v>45</x:v>
      </x:c>
      <x:c r="H18" s="46" t="n">
        <x:v>45</x:v>
      </x:c>
      <x:c r="I18" s="48" t="str">
        <x:v>BWP</x:v>
      </x:c>
      <x:c r="J18" s="48" t="str">
        <x:v>Dining &amp; drinks</x:v>
      </x:c>
    </x:row>
    <x:row r="19">
      <x:c r="A19" s="48" t="str">
        <x:v>R004</x:v>
      </x:c>
      <x:c r="B19" s="48" t="n">
        <x:v>4</x:v>
      </x:c>
      <x:c r="C19" s="44" t="n">
        <x:v>46235</x:v>
      </x:c>
      <x:c r="D19" s="75" t="str">
        <x:v>Museum Cafe</x:v>
      </x:c>
      <x:c r="E19" s="75" t="str">
        <x:v>Still Water 500ml</x:v>
      </x:c>
      <x:c r="F19" s="71" t="n">
        <x:v>2</x:v>
      </x:c>
      <x:c r="G19" s="46" t="n">
        <x:v>15</x:v>
      </x:c>
      <x:c r="H19" s="46" t="n">
        <x:v>30</x:v>
      </x:c>
      <x:c r="I19" s="48" t="str">
        <x:v>BWP</x:v>
      </x:c>
      <x:c r="J19" s="48" t="str">
        <x:v>Dining &amp; drinks</x:v>
      </x:c>
    </x:row>
    <x:row r="20">
      <x:c r="A20" s="48" t="str">
        <x:v>R004</x:v>
      </x:c>
      <x:c r="B20" s="48" t="n">
        <x:v>4</x:v>
      </x:c>
      <x:c r="C20" s="44" t="n">
        <x:v>46235</x:v>
      </x:c>
      <x:c r="D20" s="75" t="str">
        <x:v>Museum Cafe</x:v>
      </x:c>
      <x:c r="E20" s="75" t="str">
        <x:v>T-Bone 500g</x:v>
      </x:c>
      <x:c r="F20" s="71" t="n">
        <x:v>1</x:v>
      </x:c>
      <x:c r="G20" s="46" t="n">
        <x:v>250</x:v>
      </x:c>
      <x:c r="H20" s="46" t="n">
        <x:v>250</x:v>
      </x:c>
      <x:c r="I20" s="48" t="str">
        <x:v>BWP</x:v>
      </x:c>
      <x:c r="J20" s="48" t="str">
        <x:v>Dining &amp; drinks</x:v>
      </x:c>
    </x:row>
    <x:row r="21">
      <x:c r="A21" s="48" t="str">
        <x:v>R005</x:v>
      </x:c>
      <x:c r="B21" s="48" t="n">
        <x:v>5</x:v>
      </x:c>
      <x:c r="C21" s="44" t="n">
        <x:v>46233</x:v>
      </x:c>
      <x:c r="D21" s="75" t="str">
        <x:v>Shoprite LiquorShop Zeerust</x:v>
      </x:c>
      <x:c r="E21" s="75" t="str">
        <x:v>Corona 6 x 410ml</x:v>
      </x:c>
      <x:c r="F21" s="71" t="n">
        <x:v>1</x:v>
      </x:c>
      <x:c r="G21" s="46" t="n">
        <x:v>119.99</x:v>
      </x:c>
      <x:c r="H21" s="46" t="n">
        <x:v>119.99</x:v>
      </x:c>
      <x:c r="I21" s="48" t="str">
        <x:v>ZAR</x:v>
      </x:c>
      <x:c r="J21" s="48" t="str">
        <x:v>Alcohol retail</x:v>
      </x:c>
    </x:row>
    <x:row r="22">
      <x:c r="A22" s="48" t="str">
        <x:v>R006</x:v>
      </x:c>
      <x:c r="B22" s="48" t="n">
        <x:v>6</x:v>
      </x:c>
      <x:c r="C22" s="44" t="n">
        <x:v>46234</x:v>
      </x:c>
      <x:c r="D22" s="75" t="str">
        <x:v>Steers The Fields</x:v>
      </x:c>
      <x:c r="E22" s="75" t="str">
        <x:v>Chicken Bra Meal</x:v>
      </x:c>
      <x:c r="F22" s="71" t="n">
        <x:v>1</x:v>
      </x:c>
      <x:c r="G22" s="46" t="n">
        <x:v>59.9</x:v>
      </x:c>
      <x:c r="H22" s="46" t="n">
        <x:v>59.9</x:v>
      </x:c>
      <x:c r="I22" s="48" t="str">
        <x:v>BWP</x:v>
      </x:c>
      <x:c r="J22" s="48" t="str">
        <x:v>Dining</x:v>
      </x:c>
    </x:row>
    <x:row r="23">
      <x:c r="A23" s="48" t="str">
        <x:v>R006</x:v>
      </x:c>
      <x:c r="B23" s="48" t="n">
        <x:v>6</x:v>
      </x:c>
      <x:c r="C23" s="44" t="n">
        <x:v>46234</x:v>
      </x:c>
      <x:c r="D23" s="75" t="str">
        <x:v>Steers The Fields</x:v>
      </x:c>
      <x:c r="E23" s="75" t="str">
        <x:v>Lemon Herb</x:v>
      </x:c>
      <x:c r="F23" s="71" t="n">
        <x:v>1</x:v>
      </x:c>
      <x:c r="G23" s="46" t="n">
        <x:v>0</x:v>
      </x:c>
      <x:c r="H23" s="46" t="n">
        <x:v>0</x:v>
      </x:c>
      <x:c r="I23" s="48" t="str">
        <x:v>BWP</x:v>
      </x:c>
      <x:c r="J23" s="48" t="str">
        <x:v>Dining</x:v>
      </x:c>
    </x:row>
    <x:row r="24">
      <x:c r="A24" s="48" t="str">
        <x:v>R006</x:v>
      </x:c>
      <x:c r="B24" s="48" t="n">
        <x:v>6</x:v>
      </x:c>
      <x:c r="C24" s="44" t="n">
        <x:v>46234</x:v>
      </x:c>
      <x:c r="D24" s="75" t="str">
        <x:v>Steers The Fields</x:v>
      </x:c>
      <x:c r="E24" s="75" t="str">
        <x:v>Regular Handcut Chips</x:v>
      </x:c>
      <x:c r="F24" s="71" t="n">
        <x:v>1</x:v>
      </x:c>
      <x:c r="G24" s="46" t="n">
        <x:v>0</x:v>
      </x:c>
      <x:c r="H24" s="46" t="n">
        <x:v>0</x:v>
      </x:c>
      <x:c r="I24" s="48" t="str">
        <x:v>BWP</x:v>
      </x:c>
      <x:c r="J24" s="48" t="str">
        <x:v>Dining</x:v>
      </x:c>
    </x:row>
    <x:row r="25">
      <x:c r="A25" s="48" t="str">
        <x:v>R006</x:v>
      </x:c>
      <x:c r="B25" s="48" t="n">
        <x:v>6</x:v>
      </x:c>
      <x:c r="C25" s="44" t="n">
        <x:v>46234</x:v>
      </x:c>
      <x:c r="D25" s="75" t="str">
        <x:v>Steers The Fields</x:v>
      </x:c>
      <x:c r="E25" s="75" t="str">
        <x:v>Take Away</x:v>
      </x:c>
      <x:c r="F25" s="71" t="n">
        <x:v>1</x:v>
      </x:c>
      <x:c r="G25" s="46" t="n">
        <x:v>0</x:v>
      </x:c>
      <x:c r="H25" s="46" t="n">
        <x:v>0</x:v>
      </x:c>
      <x:c r="I25" s="48" t="str">
        <x:v>BWP</x:v>
      </x:c>
      <x:c r="J25" s="48" t="str">
        <x:v>Dining</x:v>
      </x:c>
    </x:row>
    <x:row r="26">
      <x:c r="A26" s="48" t="str">
        <x:v>R007</x:v>
      </x:c>
      <x:c r="B26" s="48" t="n">
        <x:v>7</x:v>
      </x:c>
      <x:c r="C26" s="44" t="n">
        <x:v>46234</x:v>
      </x:c>
      <x:c r="D26" s="75" t="str">
        <x:v>Steers The Fields</x:v>
      </x:c>
      <x:c r="E26" s="75" t="str">
        <x:v>King Steer Burger Meal</x:v>
      </x:c>
      <x:c r="F26" s="71" t="n">
        <x:v>1</x:v>
      </x:c>
      <x:c r="G26" s="46" t="n">
        <x:v>107.9</x:v>
      </x:c>
      <x:c r="H26" s="46" t="n">
        <x:v>107.9</x:v>
      </x:c>
      <x:c r="I26" s="48" t="str">
        <x:v>BWP</x:v>
      </x:c>
      <x:c r="J26" s="48" t="str">
        <x:v>Dining</x:v>
      </x:c>
    </x:row>
    <x:row r="27">
      <x:c r="A27" s="48" t="str">
        <x:v>R007</x:v>
      </x:c>
      <x:c r="B27" s="48" t="n">
        <x:v>7</x:v>
      </x:c>
      <x:c r="C27" s="44" t="n">
        <x:v>46234</x:v>
      </x:c>
      <x:c r="D27" s="75" t="str">
        <x:v>Steers The Fields</x:v>
      </x:c>
      <x:c r="E27" s="75" t="str">
        <x:v>Medium Handcut Chips</x:v>
      </x:c>
      <x:c r="F27" s="71" t="n">
        <x:v>1</x:v>
      </x:c>
      <x:c r="G27" s="46" t="n">
        <x:v>0</x:v>
      </x:c>
      <x:c r="H27" s="46" t="n">
        <x:v>0</x:v>
      </x:c>
      <x:c r="I27" s="48" t="str">
        <x:v>BWP</x:v>
      </x:c>
      <x:c r="J27" s="48" t="str">
        <x:v>Dining</x:v>
      </x:c>
    </x:row>
    <x:row r="28">
      <x:c r="A28" s="48" t="str">
        <x:v>R007</x:v>
      </x:c>
      <x:c r="B28" s="48" t="n">
        <x:v>7</x:v>
      </x:c>
      <x:c r="C28" s="44" t="n">
        <x:v>46234</x:v>
      </x:c>
      <x:c r="D28" s="75" t="str">
        <x:v>Steers The Fields</x:v>
      </x:c>
      <x:c r="E28" s="75" t="str">
        <x:v>Take Away</x:v>
      </x:c>
      <x:c r="F28" s="71" t="n">
        <x:v>1</x:v>
      </x:c>
      <x:c r="G28" s="46" t="n">
        <x:v>0</x:v>
      </x:c>
      <x:c r="H28" s="46" t="n">
        <x:v>0</x:v>
      </x:c>
      <x:c r="I28" s="48" t="str">
        <x:v>BWP</x:v>
      </x:c>
      <x:c r="J28" s="48" t="str">
        <x:v>Dining</x:v>
      </x:c>
    </x:row>
    <x:row r="29">
      <x:c r="A29" s="48" t="str">
        <x:v>R008</x:v>
      </x:c>
      <x:c r="B29" s="48" t="n">
        <x:v>8</x:v>
      </x:c>
      <x:c r="C29" s="44" t="n">
        <x:v>46234</x:v>
      </x:c>
      <x:c r="D29" s="75" t="str">
        <x:v>Chicken Licken The Fields</x:v>
      </x:c>
      <x:c r="E29" s="75" t="str">
        <x:v>Hotwings 24</x:v>
      </x:c>
      <x:c r="F29" s="71" t="n">
        <x:v>1</x:v>
      </x:c>
      <x:c r="G29" s="46" t="n">
        <x:v>170</x:v>
      </x:c>
      <x:c r="H29" s="46" t="n">
        <x:v>170</x:v>
      </x:c>
      <x:c r="I29" s="48" t="str">
        <x:v>BWP</x:v>
      </x:c>
      <x:c r="J29" s="48" t="str">
        <x:v>Dining</x:v>
      </x:c>
    </x:row>
    <x:row r="30">
      <x:c r="A30" s="48" t="str">
        <x:v>R008</x:v>
      </x:c>
      <x:c r="B30" s="48" t="n">
        <x:v>8</x:v>
      </x:c>
      <x:c r="C30" s="44" t="n">
        <x:v>46234</x:v>
      </x:c>
      <x:c r="D30" s="75" t="str">
        <x:v>Chicken Licken The Fields</x:v>
      </x:c>
      <x:c r="E30" s="75" t="str">
        <x:v>Plastic Bag Levy</x:v>
      </x:c>
      <x:c r="F30" s="71" t="n">
        <x:v>1</x:v>
      </x:c>
      <x:c r="G30" s="46" t="n">
        <x:v>0.2</x:v>
      </x:c>
      <x:c r="H30" s="46" t="n">
        <x:v>0.2</x:v>
      </x:c>
      <x:c r="I30" s="48" t="str">
        <x:v>BWP</x:v>
      </x:c>
      <x:c r="J30" s="48" t="str">
        <x:v>Dining</x:v>
      </x:c>
    </x:row>
    <x:row r="31">
      <x:c r="A31" s="48" t="str">
        <x:v>R009</x:v>
      </x:c>
      <x:c r="B31" s="48" t="n">
        <x:v>9</x:v>
      </x:c>
      <x:c r="C31" s="44" t="n">
        <x:v>46233</x:v>
      </x:c>
      <x:c r="D31" s="75" t="str">
        <x:v>Botswana Unified Revenue Service</x:v>
      </x:c>
      <x:c r="E31" s="75" t="str">
        <x:v>National Road Safety Fund</x:v>
      </x:c>
      <x:c r="F31" s="71" t="n">
        <x:v>1</x:v>
      </x:c>
      <x:c r="G31" s="46" t="n">
        <x:v>50</x:v>
      </x:c>
      <x:c r="H31" s="46" t="n">
        <x:v>50</x:v>
      </x:c>
      <x:c r="I31" s="48" t="str">
        <x:v>BWP</x:v>
      </x:c>
      <x:c r="J31" s="48" t="str">
        <x:v>Road permits</x:v>
      </x:c>
    </x:row>
    <x:row r="32">
      <x:c r="A32" s="48" t="str">
        <x:v>R009</x:v>
      </x:c>
      <x:c r="B32" s="48" t="n">
        <x:v>9</x:v>
      </x:c>
      <x:c r="C32" s="44" t="n">
        <x:v>46233</x:v>
      </x:c>
      <x:c r="D32" s="75" t="str">
        <x:v>Botswana Unified Revenue Service</x:v>
      </x:c>
      <x:c r="E32" s="75" t="str">
        <x:v>Motor Vehicle Insurance</x:v>
      </x:c>
      <x:c r="F32" s="71" t="n">
        <x:v>1</x:v>
      </x:c>
      <x:c r="G32" s="46" t="n">
        <x:v>150</x:v>
      </x:c>
      <x:c r="H32" s="46" t="n">
        <x:v>150</x:v>
      </x:c>
      <x:c r="I32" s="48" t="str">
        <x:v>BWP</x:v>
      </x:c>
      <x:c r="J32" s="48" t="str">
        <x:v>Road permits</x:v>
      </x:c>
    </x:row>
    <x:row r="33">
      <x:c r="A33" s="48" t="str">
        <x:v>R009</x:v>
      </x:c>
      <x:c r="B33" s="48" t="n">
        <x:v>9</x:v>
      </x:c>
      <x:c r="C33" s="44" t="n">
        <x:v>46233</x:v>
      </x:c>
      <x:c r="D33" s="75" t="str">
        <x:v>Botswana Unified Revenue Service</x:v>
      </x:c>
      <x:c r="E33" s="75" t="str">
        <x:v>Road Transport Permit - Botswana Single</x:v>
      </x:c>
      <x:c r="F33" s="71" t="n">
        <x:v>1</x:v>
      </x:c>
      <x:c r="G33" s="46" t="n">
        <x:v>60</x:v>
      </x:c>
      <x:c r="H33" s="46" t="n">
        <x:v>60</x:v>
      </x:c>
      <x:c r="I33" s="48" t="str">
        <x:v>BWP</x:v>
      </x:c>
      <x:c r="J33" s="48" t="str">
        <x:v>Road permits</x:v>
      </x:c>
    </x:row>
    <x:row r="34">
      <x:c r="A34" s="49" t="str">
        <x:v>R010</x:v>
      </x:c>
      <x:c r="B34" s="49" t="n">
        <x:v>10</x:v>
      </x:c>
      <x:c r="C34" s="50" t="n">
        <x:v>46233</x:v>
      </x:c>
      <x:c r="D34" s="76" t="str">
        <x:v>Driveway Filling Station</x:v>
      </x:c>
      <x:c r="E34" s="76" t="str">
        <x:v>Cafe Latte</x:v>
      </x:c>
      <x:c r="F34" s="73" t="n">
        <x:v>1</x:v>
      </x:c>
      <x:c r="G34" s="51" t="n">
        <x:v>45</x:v>
      </x:c>
      <x:c r="H34" s="51" t="n">
        <x:v>45</x:v>
      </x:c>
      <x:c r="I34" s="49" t="str">
        <x:v>LSL</x:v>
      </x:c>
      <x:c r="J34" s="49" t="str">
        <x:v>Refreshment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f7f26919f8d4b17"/>
  </x:tableParts>
</x:worksheet>
</file>